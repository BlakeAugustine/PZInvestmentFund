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zerg/Desktop/Investment/Excel template/"/>
    </mc:Choice>
  </mc:AlternateContent>
  <xr:revisionPtr revIDLastSave="0" documentId="13_ncr:1_{4A141131-42AD-7F41-B315-E0050FD7026E}" xr6:coauthVersionLast="43" xr6:coauthVersionMax="43" xr10:uidLastSave="{00000000-0000-0000-0000-000000000000}"/>
  <bookViews>
    <workbookView xWindow="0" yWindow="0" windowWidth="33600" windowHeight="21000" firstSheet="1" activeTab="5" xr2:uid="{00000000-000D-0000-FFFF-FFFF00000000}"/>
  </bookViews>
  <sheets>
    <sheet name="COVER" sheetId="2" r:id="rId1"/>
    <sheet name="TOWER" sheetId="1" r:id="rId2"/>
    <sheet name="SCENARIO ANALYSIS" sheetId="8" r:id="rId3"/>
    <sheet name="REVENUE BUILD" sheetId="4" r:id="rId4"/>
    <sheet name="DCF" sheetId="10" r:id="rId5"/>
    <sheet name="COMPS ANALYSIS" sheetId="6" r:id="rId6"/>
    <sheet name="M SCORE" sheetId="11" r:id="rId7"/>
    <sheet name="SIDE PROJECTS" sheetId="7" r:id="rId8"/>
    <sheet name="NOTES" sheetId="9" r:id="rId9"/>
  </sheets>
  <definedNames>
    <definedName name="Bear">'SCENARIO ANALYSIS'!$D$11:$D$13</definedName>
    <definedName name="CECmargin">'SCENARIO ANALYSIS'!$D$47:$D$49</definedName>
    <definedName name="CTGbearrev">'SCENARIO ANALYSIS'!$D$19:$D$21</definedName>
    <definedName name="CTGrev">'SCENARIO ANALYSIS'!$D$55:$D$57</definedName>
    <definedName name="HRSmargin">'SCENARIO ANALYSIS'!$D$71:$D$73</definedName>
    <definedName name="HRSrev">'SCENARIO ANALYSIS'!$D$35:$D$37</definedName>
    <definedName name="IEImargin">'SCENARIO ANALYSIS'!$D$63:$D$65</definedName>
    <definedName name="IEIrev">'SCENARIO ANALYSIS'!$D$27:$D$29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6" i="10" l="1"/>
  <c r="D24" i="10" l="1"/>
  <c r="V24" i="1" l="1"/>
  <c r="D29" i="10" s="1"/>
  <c r="D30" i="10" s="1"/>
  <c r="U24" i="1"/>
  <c r="T24" i="1"/>
  <c r="V23" i="1"/>
  <c r="U23" i="1"/>
  <c r="T23" i="1"/>
  <c r="V80" i="1"/>
  <c r="V8" i="1" s="1"/>
  <c r="V65" i="1" s="1"/>
  <c r="U80" i="1"/>
  <c r="U87" i="1" s="1"/>
  <c r="U90" i="1" s="1"/>
  <c r="U94" i="1" s="1"/>
  <c r="U21" i="1" s="1"/>
  <c r="T21" i="1"/>
  <c r="T80" i="1"/>
  <c r="T87" i="1" s="1"/>
  <c r="T90" i="1" s="1"/>
  <c r="V17" i="1"/>
  <c r="U17" i="1"/>
  <c r="T17" i="1"/>
  <c r="V14" i="1"/>
  <c r="U14" i="1"/>
  <c r="T14" i="1"/>
  <c r="V13" i="1"/>
  <c r="U13" i="1"/>
  <c r="U53" i="1" s="1"/>
  <c r="T13" i="1"/>
  <c r="V12" i="1"/>
  <c r="U12" i="1"/>
  <c r="T12" i="1"/>
  <c r="V11" i="1"/>
  <c r="U11" i="1"/>
  <c r="T11" i="1"/>
  <c r="V10" i="1"/>
  <c r="U10" i="1"/>
  <c r="T10" i="1"/>
  <c r="V7" i="1"/>
  <c r="U7" i="1"/>
  <c r="T7" i="1"/>
  <c r="V6" i="1"/>
  <c r="U6" i="1"/>
  <c r="T6" i="1"/>
  <c r="V5" i="1"/>
  <c r="U5" i="1"/>
  <c r="T5" i="1"/>
  <c r="T53" i="1"/>
  <c r="V53" i="1"/>
  <c r="R24" i="1"/>
  <c r="S24" i="1"/>
  <c r="Q24" i="1"/>
  <c r="P24" i="1"/>
  <c r="O24" i="1"/>
  <c r="R23" i="1"/>
  <c r="S23" i="1" s="1"/>
  <c r="Q23" i="1"/>
  <c r="P23" i="1"/>
  <c r="O23" i="1"/>
  <c r="O21" i="1"/>
  <c r="P80" i="1"/>
  <c r="P8" i="1" s="1"/>
  <c r="P87" i="1"/>
  <c r="Q80" i="1"/>
  <c r="Q87" i="1" s="1"/>
  <c r="R80" i="1"/>
  <c r="R87" i="1"/>
  <c r="R90" i="1" s="1"/>
  <c r="O20" i="1"/>
  <c r="O80" i="1"/>
  <c r="O8" i="1" s="1"/>
  <c r="O87" i="1"/>
  <c r="O17" i="1"/>
  <c r="P17" i="1"/>
  <c r="Q17" i="1"/>
  <c r="R17" i="1"/>
  <c r="O14" i="1"/>
  <c r="S14" i="1" s="1"/>
  <c r="P14" i="1"/>
  <c r="Q14" i="1"/>
  <c r="R14" i="1"/>
  <c r="O13" i="1"/>
  <c r="P13" i="1"/>
  <c r="Q13" i="1"/>
  <c r="R13" i="1"/>
  <c r="R12" i="1"/>
  <c r="Q12" i="1"/>
  <c r="P12" i="1"/>
  <c r="O12" i="1"/>
  <c r="O11" i="1"/>
  <c r="P11" i="1"/>
  <c r="Q11" i="1"/>
  <c r="R11" i="1"/>
  <c r="O10" i="1"/>
  <c r="P10" i="1"/>
  <c r="Q10" i="1"/>
  <c r="R10" i="1"/>
  <c r="R73" i="1" s="1"/>
  <c r="R8" i="1"/>
  <c r="R7" i="1"/>
  <c r="Q7" i="1"/>
  <c r="P7" i="1"/>
  <c r="O7" i="1"/>
  <c r="O6" i="1"/>
  <c r="S6" i="1" s="1"/>
  <c r="P6" i="1"/>
  <c r="Q6" i="1"/>
  <c r="R6" i="1"/>
  <c r="O5" i="1"/>
  <c r="P5" i="1"/>
  <c r="Q5" i="1"/>
  <c r="R5" i="1"/>
  <c r="M24" i="1"/>
  <c r="N24" i="1" s="1"/>
  <c r="L24" i="1"/>
  <c r="K24" i="1"/>
  <c r="J24" i="1"/>
  <c r="M23" i="1"/>
  <c r="N23" i="1"/>
  <c r="L23" i="1"/>
  <c r="K23" i="1"/>
  <c r="J23" i="1"/>
  <c r="J21" i="1"/>
  <c r="K80" i="1"/>
  <c r="K8" i="1" s="1"/>
  <c r="L80" i="1"/>
  <c r="L87" i="1"/>
  <c r="L90" i="1"/>
  <c r="L94" i="1" s="1"/>
  <c r="L21" i="1" s="1"/>
  <c r="M80" i="1"/>
  <c r="M87" i="1" s="1"/>
  <c r="J80" i="1"/>
  <c r="J8" i="1" s="1"/>
  <c r="J17" i="1"/>
  <c r="K17" i="1"/>
  <c r="L17" i="1"/>
  <c r="M17" i="1"/>
  <c r="L15" i="1"/>
  <c r="J14" i="1"/>
  <c r="K14" i="1"/>
  <c r="L14" i="1"/>
  <c r="N14" i="1" s="1"/>
  <c r="M14" i="1"/>
  <c r="J13" i="1"/>
  <c r="K13" i="1"/>
  <c r="L13" i="1"/>
  <c r="M13" i="1"/>
  <c r="M12" i="1"/>
  <c r="L12" i="1"/>
  <c r="K12" i="1"/>
  <c r="J12" i="1"/>
  <c r="J11" i="1"/>
  <c r="K11" i="1"/>
  <c r="L11" i="1"/>
  <c r="M11" i="1"/>
  <c r="J10" i="1"/>
  <c r="K10" i="1"/>
  <c r="L10" i="1"/>
  <c r="M10" i="1"/>
  <c r="L8" i="1"/>
  <c r="M7" i="1"/>
  <c r="L7" i="1"/>
  <c r="K7" i="1"/>
  <c r="J7" i="1"/>
  <c r="J6" i="1"/>
  <c r="N6" i="1" s="1"/>
  <c r="N134" i="1" s="1"/>
  <c r="K6" i="1"/>
  <c r="L6" i="1"/>
  <c r="M6" i="1"/>
  <c r="J5" i="1"/>
  <c r="K5" i="1"/>
  <c r="L5" i="1"/>
  <c r="M5" i="1"/>
  <c r="F24" i="1"/>
  <c r="G24" i="1"/>
  <c r="H24" i="1"/>
  <c r="I24" i="1" s="1"/>
  <c r="F23" i="1"/>
  <c r="G23" i="1"/>
  <c r="H23" i="1"/>
  <c r="E80" i="1"/>
  <c r="E87" i="1" s="1"/>
  <c r="F80" i="1"/>
  <c r="F8" i="1" s="1"/>
  <c r="G80" i="1"/>
  <c r="G87" i="1"/>
  <c r="G15" i="1" s="1"/>
  <c r="H80" i="1"/>
  <c r="H87" i="1" s="1"/>
  <c r="H90" i="1" s="1"/>
  <c r="E24" i="1"/>
  <c r="E23" i="1"/>
  <c r="H17" i="1"/>
  <c r="G17" i="1"/>
  <c r="F17" i="1"/>
  <c r="E17" i="1"/>
  <c r="H15" i="1"/>
  <c r="H14" i="1"/>
  <c r="G14" i="1"/>
  <c r="F14" i="1"/>
  <c r="E14" i="1"/>
  <c r="I14" i="1" s="1"/>
  <c r="H13" i="1"/>
  <c r="G13" i="1"/>
  <c r="F13" i="1"/>
  <c r="E13" i="1"/>
  <c r="H12" i="1"/>
  <c r="G12" i="1"/>
  <c r="F12" i="1"/>
  <c r="E12" i="1"/>
  <c r="H11" i="1"/>
  <c r="G11" i="1"/>
  <c r="F11" i="1"/>
  <c r="E11" i="1"/>
  <c r="H10" i="1"/>
  <c r="G10" i="1"/>
  <c r="F10" i="1"/>
  <c r="E10" i="1"/>
  <c r="I10" i="1" s="1"/>
  <c r="H8" i="1"/>
  <c r="G8" i="1"/>
  <c r="E8" i="1"/>
  <c r="H7" i="1"/>
  <c r="G7" i="1"/>
  <c r="F7" i="1"/>
  <c r="E7" i="1"/>
  <c r="H6" i="1"/>
  <c r="G6" i="1"/>
  <c r="F6" i="1"/>
  <c r="E6" i="1"/>
  <c r="I6" i="1" s="1"/>
  <c r="F5" i="1"/>
  <c r="G5" i="1"/>
  <c r="H5" i="1"/>
  <c r="E5" i="1"/>
  <c r="I150" i="7"/>
  <c r="I151" i="7" s="1"/>
  <c r="I152" i="7" s="1"/>
  <c r="I153" i="7" s="1"/>
  <c r="I154" i="7" s="1"/>
  <c r="I155" i="7" s="1"/>
  <c r="I156" i="7" s="1"/>
  <c r="I157" i="7" s="1"/>
  <c r="I140" i="7"/>
  <c r="I141" i="7" s="1"/>
  <c r="I142" i="7" s="1"/>
  <c r="I143" i="7" s="1"/>
  <c r="I136" i="7"/>
  <c r="I137" i="7" s="1"/>
  <c r="I138" i="7" s="1"/>
  <c r="I139" i="7" s="1"/>
  <c r="F47" i="7"/>
  <c r="K71" i="8"/>
  <c r="K72" i="8" s="1"/>
  <c r="K73" i="8" s="1"/>
  <c r="J71" i="8"/>
  <c r="J72" i="8" s="1"/>
  <c r="J73" i="8" s="1"/>
  <c r="K63" i="8"/>
  <c r="K64" i="8"/>
  <c r="K65" i="8" s="1"/>
  <c r="J63" i="8"/>
  <c r="J64" i="8"/>
  <c r="J65" i="8" s="1"/>
  <c r="J55" i="8"/>
  <c r="J56" i="8" s="1"/>
  <c r="J57" i="8" s="1"/>
  <c r="J47" i="8"/>
  <c r="J48" i="8" s="1"/>
  <c r="J49" i="8" s="1"/>
  <c r="J13" i="8"/>
  <c r="J12" i="8"/>
  <c r="Y64" i="1"/>
  <c r="Z64" i="1" s="1"/>
  <c r="Y13" i="1"/>
  <c r="Z13" i="1" s="1"/>
  <c r="AA13" i="1" s="1"/>
  <c r="AB13" i="1" s="1"/>
  <c r="AD13" i="1" s="1"/>
  <c r="R52" i="8"/>
  <c r="W35" i="1" s="1"/>
  <c r="R17" i="8"/>
  <c r="R16" i="8" s="1"/>
  <c r="R60" i="8"/>
  <c r="W40" i="1" s="1"/>
  <c r="R25" i="8"/>
  <c r="R24" i="8" s="1"/>
  <c r="W39" i="1" s="1"/>
  <c r="R68" i="8"/>
  <c r="W45" i="1" s="1"/>
  <c r="R33" i="8"/>
  <c r="R32" i="8" s="1"/>
  <c r="U137" i="1"/>
  <c r="R65" i="1"/>
  <c r="U138" i="1"/>
  <c r="W166" i="1"/>
  <c r="Y166" i="1"/>
  <c r="K137" i="1"/>
  <c r="K138" i="1"/>
  <c r="Z166" i="1"/>
  <c r="AA64" i="1"/>
  <c r="AB64" i="1" s="1"/>
  <c r="AC64" i="1" s="1"/>
  <c r="AD64" i="1" s="1"/>
  <c r="AE64" i="1" s="1"/>
  <c r="AF64" i="1" s="1"/>
  <c r="AG64" i="1" s="1"/>
  <c r="AH64" i="1" s="1"/>
  <c r="AI64" i="1" s="1"/>
  <c r="AJ64" i="1" s="1"/>
  <c r="AK64" i="1" s="1"/>
  <c r="AL64" i="1" s="1"/>
  <c r="AM64" i="1" s="1"/>
  <c r="AN64" i="1" s="1"/>
  <c r="AO64" i="1" s="1"/>
  <c r="AP64" i="1" s="1"/>
  <c r="AQ64" i="1" s="1"/>
  <c r="AR64" i="1" s="1"/>
  <c r="AS64" i="1" s="1"/>
  <c r="AT64" i="1" s="1"/>
  <c r="AU64" i="1" s="1"/>
  <c r="AV64" i="1" s="1"/>
  <c r="AW64" i="1" s="1"/>
  <c r="AA166" i="1"/>
  <c r="W55" i="1"/>
  <c r="W53" i="1"/>
  <c r="Y53" i="1" s="1"/>
  <c r="Z53" i="1" s="1"/>
  <c r="AA53" i="1" s="1"/>
  <c r="AB53" i="1" s="1"/>
  <c r="AD53" i="1" s="1"/>
  <c r="T55" i="1"/>
  <c r="U55" i="1"/>
  <c r="V55" i="1"/>
  <c r="X170" i="1"/>
  <c r="U54" i="1"/>
  <c r="U74" i="1" s="1"/>
  <c r="V54" i="1"/>
  <c r="V74" i="1" s="1"/>
  <c r="I11" i="1"/>
  <c r="I13" i="1"/>
  <c r="I17" i="1"/>
  <c r="I23" i="1"/>
  <c r="S171" i="1"/>
  <c r="T170" i="1" s="1"/>
  <c r="T168" i="1" s="1"/>
  <c r="L143" i="1"/>
  <c r="L137" i="1" s="1"/>
  <c r="F166" i="1"/>
  <c r="F146" i="1"/>
  <c r="H142" i="1"/>
  <c r="Q154" i="1"/>
  <c r="Q138" i="1" s="1"/>
  <c r="AB166" i="1"/>
  <c r="AD166" i="1"/>
  <c r="AE166" i="1"/>
  <c r="AF166" i="1"/>
  <c r="AG166" i="1"/>
  <c r="AI166" i="1"/>
  <c r="AJ166" i="1"/>
  <c r="AK166" i="1"/>
  <c r="AL166" i="1"/>
  <c r="W118" i="1"/>
  <c r="E49" i="1"/>
  <c r="V143" i="1"/>
  <c r="V137" i="1" s="1"/>
  <c r="V154" i="1"/>
  <c r="V138" i="1" s="1"/>
  <c r="W103" i="1"/>
  <c r="W114" i="1"/>
  <c r="X114" i="1" s="1"/>
  <c r="Y114" i="1" s="1"/>
  <c r="W115" i="1"/>
  <c r="X115" i="1" s="1"/>
  <c r="Y115" i="1" s="1"/>
  <c r="Z115" i="1" s="1"/>
  <c r="L11" i="8"/>
  <c r="K11" i="8"/>
  <c r="K12" i="8" s="1"/>
  <c r="K13" i="8" s="1"/>
  <c r="R9" i="8"/>
  <c r="R8" i="8" s="1"/>
  <c r="R44" i="8"/>
  <c r="W30" i="1" s="1"/>
  <c r="D41" i="10"/>
  <c r="S101" i="1"/>
  <c r="N101" i="1"/>
  <c r="S104" i="1"/>
  <c r="S106" i="1"/>
  <c r="S107" i="1"/>
  <c r="S109" i="1"/>
  <c r="M104" i="1"/>
  <c r="N104" i="1" s="1"/>
  <c r="N106" i="1"/>
  <c r="J143" i="1"/>
  <c r="J137" i="1" s="1"/>
  <c r="M143" i="1"/>
  <c r="M137" i="1" s="1"/>
  <c r="O143" i="1"/>
  <c r="S116" i="1"/>
  <c r="S118" i="1"/>
  <c r="M116" i="1"/>
  <c r="N116" i="1" s="1"/>
  <c r="N118" i="1"/>
  <c r="J152" i="1"/>
  <c r="L152" i="1" s="1"/>
  <c r="Q152" i="1"/>
  <c r="T132" i="1"/>
  <c r="U132" i="1"/>
  <c r="V132" i="1"/>
  <c r="R132" i="1"/>
  <c r="W132" i="1"/>
  <c r="W151" i="1"/>
  <c r="J154" i="1"/>
  <c r="L154" i="1" s="1"/>
  <c r="W170" i="1"/>
  <c r="W107" i="1"/>
  <c r="W108" i="1"/>
  <c r="W109" i="1"/>
  <c r="T73" i="1"/>
  <c r="U73" i="1"/>
  <c r="Z73" i="1" s="1"/>
  <c r="AE73" i="1" s="1"/>
  <c r="AJ73" i="1" s="1"/>
  <c r="AO73" i="1" s="1"/>
  <c r="AT73" i="1" s="1"/>
  <c r="V73" i="1"/>
  <c r="W112" i="1"/>
  <c r="X112" i="1" s="1"/>
  <c r="Y112" i="1" s="1"/>
  <c r="Z112" i="1" s="1"/>
  <c r="AA112" i="1" s="1"/>
  <c r="AB112" i="1" s="1"/>
  <c r="AC112" i="1" s="1"/>
  <c r="AD112" i="1" s="1"/>
  <c r="AE112" i="1" s="1"/>
  <c r="AF112" i="1" s="1"/>
  <c r="AG112" i="1" s="1"/>
  <c r="AH112" i="1" s="1"/>
  <c r="AI112" i="1" s="1"/>
  <c r="AJ112" i="1" s="1"/>
  <c r="AK112" i="1" s="1"/>
  <c r="AL112" i="1" s="1"/>
  <c r="AM112" i="1" s="1"/>
  <c r="AN112" i="1" s="1"/>
  <c r="AO112" i="1" s="1"/>
  <c r="AP112" i="1" s="1"/>
  <c r="AQ112" i="1" s="1"/>
  <c r="AR112" i="1" s="1"/>
  <c r="AS112" i="1" s="1"/>
  <c r="AT112" i="1" s="1"/>
  <c r="AU112" i="1" s="1"/>
  <c r="AV112" i="1" s="1"/>
  <c r="V152" i="1"/>
  <c r="I101" i="1"/>
  <c r="H104" i="1"/>
  <c r="H110" i="1" s="1"/>
  <c r="I110" i="1" s="1"/>
  <c r="I104" i="1"/>
  <c r="I106" i="1"/>
  <c r="E143" i="1"/>
  <c r="G143" i="1"/>
  <c r="H143" i="1"/>
  <c r="H116" i="1"/>
  <c r="I116" i="1" s="1"/>
  <c r="I118" i="1"/>
  <c r="E5" i="9"/>
  <c r="G18" i="9" s="1"/>
  <c r="J27" i="9" s="1"/>
  <c r="J28" i="9" s="1"/>
  <c r="E6" i="9"/>
  <c r="J6" i="9" s="1"/>
  <c r="E7" i="9"/>
  <c r="J7" i="9" s="1"/>
  <c r="E8" i="9"/>
  <c r="E9" i="9"/>
  <c r="J9" i="9" s="1"/>
  <c r="E10" i="9"/>
  <c r="J10" i="9" s="1"/>
  <c r="E11" i="9"/>
  <c r="J11" i="9" s="1"/>
  <c r="E12" i="9"/>
  <c r="J12" i="9" s="1"/>
  <c r="E13" i="9"/>
  <c r="J13" i="9" s="1"/>
  <c r="E14" i="9"/>
  <c r="J14" i="9" s="1"/>
  <c r="E15" i="9"/>
  <c r="J15" i="9" s="1"/>
  <c r="E16" i="9"/>
  <c r="J16" i="9" s="1"/>
  <c r="E17" i="9"/>
  <c r="J17" i="9" s="1"/>
  <c r="J5" i="9"/>
  <c r="J8" i="9"/>
  <c r="Q219" i="7"/>
  <c r="Q220" i="7"/>
  <c r="Q218" i="7"/>
  <c r="AA216" i="7"/>
  <c r="AB216" i="7" s="1"/>
  <c r="AC216" i="7" s="1"/>
  <c r="AD216" i="7" s="1"/>
  <c r="AE216" i="7" s="1"/>
  <c r="Y216" i="7"/>
  <c r="X216" i="7"/>
  <c r="W216" i="7" s="1"/>
  <c r="V216" i="7" s="1"/>
  <c r="W215" i="7"/>
  <c r="X215" i="7" s="1"/>
  <c r="Y215" i="7" s="1"/>
  <c r="Z215" i="7" s="1"/>
  <c r="AA215" i="7" s="1"/>
  <c r="AB215" i="7" s="1"/>
  <c r="AC215" i="7" s="1"/>
  <c r="AD215" i="7" s="1"/>
  <c r="AE215" i="7" s="1"/>
  <c r="V206" i="7"/>
  <c r="V207" i="7" s="1"/>
  <c r="V208" i="7" s="1"/>
  <c r="V209" i="7" s="1"/>
  <c r="V210" i="7" s="1"/>
  <c r="V211" i="7" s="1"/>
  <c r="V212" i="7" s="1"/>
  <c r="V213" i="7" s="1"/>
  <c r="AA177" i="7"/>
  <c r="AB177" i="7" s="1"/>
  <c r="AC177" i="7" s="1"/>
  <c r="AD177" i="7" s="1"/>
  <c r="F28" i="7"/>
  <c r="F27" i="7"/>
  <c r="F17" i="6"/>
  <c r="F18" i="6" s="1"/>
  <c r="C17" i="6"/>
  <c r="C18" i="6" s="1"/>
  <c r="D17" i="6"/>
  <c r="E17" i="6"/>
  <c r="G4" i="6"/>
  <c r="G5" i="6"/>
  <c r="G6" i="6"/>
  <c r="G8" i="6"/>
  <c r="G9" i="6"/>
  <c r="G10" i="6"/>
  <c r="G11" i="6"/>
  <c r="G15" i="6"/>
  <c r="G17" i="6"/>
  <c r="H17" i="6"/>
  <c r="I17" i="6"/>
  <c r="U46" i="10"/>
  <c r="V46" i="10" s="1"/>
  <c r="S46" i="10"/>
  <c r="R46" i="10" s="1"/>
  <c r="U37" i="10"/>
  <c r="V37" i="10" s="1"/>
  <c r="S37" i="10"/>
  <c r="R37" i="10" s="1"/>
  <c r="U29" i="10"/>
  <c r="V29" i="10" s="1"/>
  <c r="S29" i="10"/>
  <c r="R29" i="10" s="1"/>
  <c r="U20" i="10"/>
  <c r="V20" i="10"/>
  <c r="S20" i="10"/>
  <c r="R20" i="10" s="1"/>
  <c r="U12" i="10"/>
  <c r="V12" i="10" s="1"/>
  <c r="S12" i="10"/>
  <c r="R12" i="10"/>
  <c r="D33" i="10"/>
  <c r="N44" i="10" s="1"/>
  <c r="S3" i="10"/>
  <c r="R3" i="10" s="1"/>
  <c r="U3" i="10"/>
  <c r="V3" i="10" s="1"/>
  <c r="R13" i="10"/>
  <c r="N12" i="10"/>
  <c r="N29" i="10"/>
  <c r="R30" i="10"/>
  <c r="S30" i="10"/>
  <c r="T30" i="10"/>
  <c r="U30" i="10"/>
  <c r="V30" i="10"/>
  <c r="R31" i="10"/>
  <c r="S31" i="10"/>
  <c r="T31" i="10"/>
  <c r="U31" i="10"/>
  <c r="V31" i="10"/>
  <c r="R32" i="10"/>
  <c r="S32" i="10"/>
  <c r="T32" i="10"/>
  <c r="U32" i="10"/>
  <c r="V32" i="10"/>
  <c r="R33" i="10"/>
  <c r="S33" i="10"/>
  <c r="T33" i="10"/>
  <c r="U33" i="10"/>
  <c r="V33" i="10"/>
  <c r="R34" i="10"/>
  <c r="S34" i="10"/>
  <c r="T34" i="10"/>
  <c r="U34" i="10"/>
  <c r="V34" i="10"/>
  <c r="N46" i="10"/>
  <c r="R47" i="10"/>
  <c r="S47" i="10"/>
  <c r="T47" i="10"/>
  <c r="U47" i="10"/>
  <c r="V47" i="10"/>
  <c r="R48" i="10"/>
  <c r="S48" i="10"/>
  <c r="T48" i="10"/>
  <c r="U48" i="10"/>
  <c r="V48" i="10"/>
  <c r="R49" i="10"/>
  <c r="S49" i="10"/>
  <c r="T49" i="10"/>
  <c r="U49" i="10"/>
  <c r="V49" i="10"/>
  <c r="R50" i="10"/>
  <c r="S50" i="10"/>
  <c r="T50" i="10"/>
  <c r="U50" i="10"/>
  <c r="V50" i="10"/>
  <c r="R51" i="10"/>
  <c r="S51" i="10"/>
  <c r="T51" i="10"/>
  <c r="U51" i="10"/>
  <c r="V51" i="10"/>
  <c r="V17" i="10"/>
  <c r="U17" i="10"/>
  <c r="T17" i="10"/>
  <c r="S17" i="10"/>
  <c r="R17" i="10"/>
  <c r="V16" i="10"/>
  <c r="U16" i="10"/>
  <c r="T16" i="10"/>
  <c r="S16" i="10"/>
  <c r="R16" i="10"/>
  <c r="V15" i="10"/>
  <c r="U15" i="10"/>
  <c r="T15" i="10"/>
  <c r="S15" i="10"/>
  <c r="R15" i="10"/>
  <c r="V14" i="10"/>
  <c r="U14" i="10"/>
  <c r="T14" i="10"/>
  <c r="S14" i="10"/>
  <c r="R14" i="10"/>
  <c r="V13" i="10"/>
  <c r="U13" i="10"/>
  <c r="T13" i="10"/>
  <c r="S13" i="10"/>
  <c r="X166" i="1"/>
  <c r="AC166" i="1"/>
  <c r="AH166" i="1"/>
  <c r="AM166" i="1"/>
  <c r="AN166" i="1"/>
  <c r="AO166" i="1"/>
  <c r="AP166" i="1"/>
  <c r="AQ166" i="1"/>
  <c r="AR166" i="1"/>
  <c r="AS166" i="1"/>
  <c r="AT166" i="1"/>
  <c r="AU166" i="1"/>
  <c r="AV166" i="1"/>
  <c r="AW166" i="1"/>
  <c r="AC13" i="1"/>
  <c r="X13" i="1"/>
  <c r="F73" i="1"/>
  <c r="G73" i="1"/>
  <c r="H73" i="1"/>
  <c r="J73" i="1"/>
  <c r="K73" i="1"/>
  <c r="L73" i="1"/>
  <c r="M73" i="1"/>
  <c r="O73" i="1"/>
  <c r="P73" i="1"/>
  <c r="Q73" i="1"/>
  <c r="AA73" i="1"/>
  <c r="AF73" i="1" s="1"/>
  <c r="AK73" i="1" s="1"/>
  <c r="AP73" i="1" s="1"/>
  <c r="AU73" i="1" s="1"/>
  <c r="E73" i="1"/>
  <c r="X23" i="1"/>
  <c r="Y23" i="1" s="1"/>
  <c r="Z23" i="1" s="1"/>
  <c r="AA23" i="1" s="1"/>
  <c r="AB23" i="1" s="1"/>
  <c r="AC23" i="1" s="1"/>
  <c r="AD23" i="1" s="1"/>
  <c r="AE23" i="1" s="1"/>
  <c r="AF23" i="1" s="1"/>
  <c r="AG23" i="1" s="1"/>
  <c r="AH23" i="1" s="1"/>
  <c r="AI23" i="1" s="1"/>
  <c r="AJ23" i="1" s="1"/>
  <c r="AK23" i="1" s="1"/>
  <c r="AL23" i="1" s="1"/>
  <c r="AM23" i="1" s="1"/>
  <c r="AN23" i="1" s="1"/>
  <c r="AO23" i="1" s="1"/>
  <c r="AP23" i="1" s="1"/>
  <c r="AQ23" i="1" s="1"/>
  <c r="AR23" i="1" s="1"/>
  <c r="AS23" i="1" s="1"/>
  <c r="AT23" i="1" s="1"/>
  <c r="AU23" i="1" s="1"/>
  <c r="AV23" i="1" s="1"/>
  <c r="AW23" i="1" s="1"/>
  <c r="F138" i="1"/>
  <c r="F137" i="1"/>
  <c r="W124" i="1"/>
  <c r="X124" i="1" s="1"/>
  <c r="Y124" i="1" s="1"/>
  <c r="Z124" i="1" s="1"/>
  <c r="AA124" i="1" s="1"/>
  <c r="AB124" i="1" s="1"/>
  <c r="AC124" i="1" s="1"/>
  <c r="AD124" i="1" s="1"/>
  <c r="AE124" i="1" s="1"/>
  <c r="AF124" i="1" s="1"/>
  <c r="AG124" i="1" s="1"/>
  <c r="AH124" i="1" s="1"/>
  <c r="AI124" i="1" s="1"/>
  <c r="AJ124" i="1" s="1"/>
  <c r="AK124" i="1" s="1"/>
  <c r="AL124" i="1" s="1"/>
  <c r="AM124" i="1" s="1"/>
  <c r="AN124" i="1" s="1"/>
  <c r="AO124" i="1" s="1"/>
  <c r="AP124" i="1" s="1"/>
  <c r="AQ124" i="1" s="1"/>
  <c r="AR124" i="1" s="1"/>
  <c r="AS124" i="1" s="1"/>
  <c r="AT124" i="1" s="1"/>
  <c r="AU124" i="1" s="1"/>
  <c r="AV124" i="1" s="1"/>
  <c r="AW124" i="1" s="1"/>
  <c r="W121" i="1"/>
  <c r="X121" i="1" s="1"/>
  <c r="Y121" i="1" s="1"/>
  <c r="Z121" i="1" s="1"/>
  <c r="AA121" i="1" s="1"/>
  <c r="AB121" i="1" s="1"/>
  <c r="AC121" i="1" s="1"/>
  <c r="AD121" i="1" s="1"/>
  <c r="AE121" i="1" s="1"/>
  <c r="AF121" i="1" s="1"/>
  <c r="AG121" i="1" s="1"/>
  <c r="AH121" i="1" s="1"/>
  <c r="AI121" i="1" s="1"/>
  <c r="AJ121" i="1" s="1"/>
  <c r="AK121" i="1" s="1"/>
  <c r="W119" i="1"/>
  <c r="X119" i="1" s="1"/>
  <c r="Y119" i="1" s="1"/>
  <c r="Z119" i="1" s="1"/>
  <c r="AA119" i="1" s="1"/>
  <c r="AB119" i="1" s="1"/>
  <c r="AC119" i="1" s="1"/>
  <c r="AD119" i="1" s="1"/>
  <c r="AE119" i="1" s="1"/>
  <c r="AF119" i="1" s="1"/>
  <c r="AG119" i="1" s="1"/>
  <c r="AH119" i="1" s="1"/>
  <c r="AI119" i="1" s="1"/>
  <c r="AJ119" i="1" s="1"/>
  <c r="AK119" i="1" s="1"/>
  <c r="AL119" i="1" s="1"/>
  <c r="AM119" i="1" s="1"/>
  <c r="AN119" i="1" s="1"/>
  <c r="AO119" i="1" s="1"/>
  <c r="AP119" i="1" s="1"/>
  <c r="AQ119" i="1" s="1"/>
  <c r="AR119" i="1" s="1"/>
  <c r="AS119" i="1" s="1"/>
  <c r="AT119" i="1" s="1"/>
  <c r="AU119" i="1" s="1"/>
  <c r="AV119" i="1" s="1"/>
  <c r="AW119" i="1" s="1"/>
  <c r="X108" i="1"/>
  <c r="Y108" i="1" s="1"/>
  <c r="Z108" i="1" s="1"/>
  <c r="AA108" i="1" s="1"/>
  <c r="AB108" i="1" s="1"/>
  <c r="AC108" i="1" s="1"/>
  <c r="AD108" i="1" s="1"/>
  <c r="AE108" i="1" s="1"/>
  <c r="AF108" i="1" s="1"/>
  <c r="AG108" i="1" s="1"/>
  <c r="AH108" i="1" s="1"/>
  <c r="AI108" i="1" s="1"/>
  <c r="AJ108" i="1" s="1"/>
  <c r="AK108" i="1" s="1"/>
  <c r="AL108" i="1" s="1"/>
  <c r="AM108" i="1" s="1"/>
  <c r="AN108" i="1" s="1"/>
  <c r="AO108" i="1" s="1"/>
  <c r="AP108" i="1" s="1"/>
  <c r="AQ108" i="1" s="1"/>
  <c r="AR108" i="1" s="1"/>
  <c r="AS108" i="1" s="1"/>
  <c r="AT108" i="1" s="1"/>
  <c r="AU108" i="1" s="1"/>
  <c r="AV108" i="1" s="1"/>
  <c r="AW108" i="1" s="1"/>
  <c r="X109" i="1"/>
  <c r="Y109" i="1"/>
  <c r="Z109" i="1" s="1"/>
  <c r="AA109" i="1" s="1"/>
  <c r="AB109" i="1" s="1"/>
  <c r="AC109" i="1" s="1"/>
  <c r="AD109" i="1" s="1"/>
  <c r="AE109" i="1" s="1"/>
  <c r="AF109" i="1" s="1"/>
  <c r="AG109" i="1" s="1"/>
  <c r="AH109" i="1" s="1"/>
  <c r="AI109" i="1" s="1"/>
  <c r="AJ109" i="1" s="1"/>
  <c r="AK109" i="1" s="1"/>
  <c r="AL109" i="1" s="1"/>
  <c r="AM109" i="1" s="1"/>
  <c r="AN109" i="1" s="1"/>
  <c r="AO109" i="1" s="1"/>
  <c r="AP109" i="1" s="1"/>
  <c r="AQ109" i="1" s="1"/>
  <c r="AR109" i="1" s="1"/>
  <c r="AS109" i="1" s="1"/>
  <c r="AT109" i="1" s="1"/>
  <c r="AU109" i="1" s="1"/>
  <c r="AV109" i="1" s="1"/>
  <c r="AW109" i="1" s="1"/>
  <c r="X107" i="1"/>
  <c r="Y107" i="1" s="1"/>
  <c r="Z107" i="1" s="1"/>
  <c r="AA107" i="1" s="1"/>
  <c r="AB107" i="1" s="1"/>
  <c r="AC107" i="1" s="1"/>
  <c r="AD107" i="1" s="1"/>
  <c r="AE107" i="1" s="1"/>
  <c r="AF107" i="1" s="1"/>
  <c r="AG107" i="1" s="1"/>
  <c r="AH107" i="1" s="1"/>
  <c r="AI107" i="1" s="1"/>
  <c r="AJ107" i="1" s="1"/>
  <c r="AK107" i="1" s="1"/>
  <c r="AL107" i="1" s="1"/>
  <c r="AM107" i="1" s="1"/>
  <c r="AN107" i="1" s="1"/>
  <c r="AO107" i="1" s="1"/>
  <c r="AP107" i="1" s="1"/>
  <c r="AQ107" i="1" s="1"/>
  <c r="AR107" i="1" s="1"/>
  <c r="AS107" i="1" s="1"/>
  <c r="AT107" i="1" s="1"/>
  <c r="AU107" i="1" s="1"/>
  <c r="AV107" i="1" s="1"/>
  <c r="AW107" i="1" s="1"/>
  <c r="AV132" i="1"/>
  <c r="AU132" i="1"/>
  <c r="AT132" i="1"/>
  <c r="AS132" i="1"/>
  <c r="AQ132" i="1"/>
  <c r="AP132" i="1"/>
  <c r="AO132" i="1"/>
  <c r="AN132" i="1"/>
  <c r="AL132" i="1"/>
  <c r="AK132" i="1"/>
  <c r="AJ132" i="1"/>
  <c r="AI132" i="1"/>
  <c r="AG132" i="1"/>
  <c r="AF132" i="1"/>
  <c r="AE132" i="1"/>
  <c r="AD132" i="1"/>
  <c r="AB132" i="1"/>
  <c r="AA132" i="1"/>
  <c r="Z132" i="1"/>
  <c r="Y132" i="1"/>
  <c r="Q132" i="1"/>
  <c r="P132" i="1"/>
  <c r="O132" i="1"/>
  <c r="M132" i="1"/>
  <c r="L132" i="1"/>
  <c r="K132" i="1"/>
  <c r="J132" i="1"/>
  <c r="H132" i="1"/>
  <c r="H133" i="1" s="1"/>
  <c r="G132" i="1"/>
  <c r="F132" i="1"/>
  <c r="F135" i="1" s="1"/>
  <c r="E132" i="1"/>
  <c r="E135" i="1"/>
  <c r="E133" i="1"/>
  <c r="F133" i="1"/>
  <c r="E134" i="1"/>
  <c r="H134" i="1"/>
  <c r="F134" i="1"/>
  <c r="Y151" i="1"/>
  <c r="AL121" i="1"/>
  <c r="AM121" i="1" s="1"/>
  <c r="AN121" i="1" s="1"/>
  <c r="AO121" i="1" s="1"/>
  <c r="AP121" i="1" s="1"/>
  <c r="AQ121" i="1" s="1"/>
  <c r="AR121" i="1" s="1"/>
  <c r="AS121" i="1" s="1"/>
  <c r="AT121" i="1" s="1"/>
  <c r="AU121" i="1" s="1"/>
  <c r="AV121" i="1" s="1"/>
  <c r="AW121" i="1" s="1"/>
  <c r="W122" i="1"/>
  <c r="X122" i="1" s="1"/>
  <c r="Y122" i="1" s="1"/>
  <c r="Z122" i="1" s="1"/>
  <c r="AA122" i="1" s="1"/>
  <c r="AB122" i="1" s="1"/>
  <c r="AC122" i="1" s="1"/>
  <c r="AD122" i="1" s="1"/>
  <c r="AE122" i="1" s="1"/>
  <c r="AF122" i="1" s="1"/>
  <c r="AG122" i="1" s="1"/>
  <c r="AH122" i="1" s="1"/>
  <c r="AI122" i="1" s="1"/>
  <c r="AJ122" i="1" s="1"/>
  <c r="AK122" i="1" s="1"/>
  <c r="AL122" i="1" s="1"/>
  <c r="AM122" i="1" s="1"/>
  <c r="AN122" i="1" s="1"/>
  <c r="AO122" i="1" s="1"/>
  <c r="AP122" i="1" s="1"/>
  <c r="AQ122" i="1" s="1"/>
  <c r="AR122" i="1" s="1"/>
  <c r="AS122" i="1" s="1"/>
  <c r="F53" i="1"/>
  <c r="G53" i="1"/>
  <c r="H53" i="1"/>
  <c r="J53" i="1"/>
  <c r="K53" i="1"/>
  <c r="L53" i="1"/>
  <c r="M53" i="1"/>
  <c r="O53" i="1"/>
  <c r="P53" i="1"/>
  <c r="Q53" i="1"/>
  <c r="R53" i="1"/>
  <c r="E53" i="1"/>
  <c r="F54" i="1"/>
  <c r="F74" i="1" s="1"/>
  <c r="G54" i="1"/>
  <c r="G74" i="1" s="1"/>
  <c r="H54" i="1"/>
  <c r="H74" i="1" s="1"/>
  <c r="J54" i="1"/>
  <c r="J74" i="1"/>
  <c r="K54" i="1"/>
  <c r="K74" i="1" s="1"/>
  <c r="L54" i="1"/>
  <c r="L74" i="1" s="1"/>
  <c r="M54" i="1"/>
  <c r="M74" i="1"/>
  <c r="O54" i="1"/>
  <c r="O74" i="1" s="1"/>
  <c r="P54" i="1"/>
  <c r="P74" i="1" s="1"/>
  <c r="Q54" i="1"/>
  <c r="Q74" i="1" s="1"/>
  <c r="R54" i="1"/>
  <c r="R74" i="1" s="1"/>
  <c r="T54" i="1"/>
  <c r="T74" i="1" s="1"/>
  <c r="F55" i="1"/>
  <c r="G55" i="1"/>
  <c r="H55" i="1"/>
  <c r="J55" i="1"/>
  <c r="K55" i="1"/>
  <c r="L55" i="1"/>
  <c r="M55" i="1"/>
  <c r="O55" i="1"/>
  <c r="P55" i="1"/>
  <c r="Q55" i="1"/>
  <c r="R55" i="1"/>
  <c r="E55" i="1"/>
  <c r="E54" i="1"/>
  <c r="E74" i="1"/>
  <c r="F49" i="1"/>
  <c r="G49" i="1"/>
  <c r="H49" i="1"/>
  <c r="J49" i="1"/>
  <c r="K49" i="1"/>
  <c r="L49" i="1"/>
  <c r="M49" i="1"/>
  <c r="O49" i="1"/>
  <c r="P49" i="1"/>
  <c r="Q49" i="1"/>
  <c r="R49" i="1"/>
  <c r="T49" i="1"/>
  <c r="U49" i="1"/>
  <c r="V49" i="1"/>
  <c r="P45" i="1"/>
  <c r="Q45" i="1"/>
  <c r="R45" i="1"/>
  <c r="T45" i="1"/>
  <c r="U45" i="1"/>
  <c r="V45" i="1"/>
  <c r="O45" i="1"/>
  <c r="K44" i="1"/>
  <c r="L44" i="1"/>
  <c r="M44" i="1"/>
  <c r="O44" i="1"/>
  <c r="P44" i="1"/>
  <c r="Q44" i="1"/>
  <c r="Q46" i="1"/>
  <c r="R44" i="1"/>
  <c r="T44" i="1"/>
  <c r="T46" i="1" s="1"/>
  <c r="U44" i="1"/>
  <c r="V44" i="1"/>
  <c r="V46" i="1" s="1"/>
  <c r="J44" i="1"/>
  <c r="P40" i="1"/>
  <c r="Q40" i="1"/>
  <c r="R40" i="1"/>
  <c r="T40" i="1"/>
  <c r="U40" i="1"/>
  <c r="V40" i="1"/>
  <c r="O40" i="1"/>
  <c r="K39" i="1"/>
  <c r="L39" i="1"/>
  <c r="M39" i="1"/>
  <c r="O39" i="1"/>
  <c r="O41" i="1" s="1"/>
  <c r="P39" i="1"/>
  <c r="P41" i="1" s="1"/>
  <c r="Q39" i="1"/>
  <c r="R39" i="1"/>
  <c r="R41" i="1" s="1"/>
  <c r="T39" i="1"/>
  <c r="U39" i="1"/>
  <c r="U41" i="1" s="1"/>
  <c r="V39" i="1"/>
  <c r="V41" i="1" s="1"/>
  <c r="J39" i="1"/>
  <c r="P35" i="1"/>
  <c r="P36" i="1" s="1"/>
  <c r="Q35" i="1"/>
  <c r="Q36" i="1" s="1"/>
  <c r="R35" i="1"/>
  <c r="T35" i="1"/>
  <c r="U35" i="1"/>
  <c r="V35" i="1"/>
  <c r="O35" i="1"/>
  <c r="K34" i="1"/>
  <c r="L34" i="1"/>
  <c r="M34" i="1"/>
  <c r="O34" i="1"/>
  <c r="P34" i="1"/>
  <c r="Q34" i="1"/>
  <c r="R34" i="1"/>
  <c r="T34" i="1"/>
  <c r="T36" i="1" s="1"/>
  <c r="U34" i="1"/>
  <c r="U36" i="1"/>
  <c r="V34" i="1"/>
  <c r="J34" i="1"/>
  <c r="P30" i="1"/>
  <c r="Q30" i="1"/>
  <c r="R30" i="1"/>
  <c r="T30" i="1"/>
  <c r="U30" i="1"/>
  <c r="V30" i="1"/>
  <c r="V31" i="1" s="1"/>
  <c r="O30" i="1"/>
  <c r="K29" i="1"/>
  <c r="L29" i="1"/>
  <c r="M29" i="1"/>
  <c r="O29" i="1"/>
  <c r="O31" i="1" s="1"/>
  <c r="P29" i="1"/>
  <c r="P31" i="1" s="1"/>
  <c r="Q29" i="1"/>
  <c r="Q31" i="1"/>
  <c r="R29" i="1"/>
  <c r="R31" i="1" s="1"/>
  <c r="T29" i="1"/>
  <c r="U29" i="1"/>
  <c r="V29" i="1"/>
  <c r="J29" i="1"/>
  <c r="F58" i="1"/>
  <c r="G58" i="1"/>
  <c r="H58" i="1"/>
  <c r="J58" i="1"/>
  <c r="K58" i="1"/>
  <c r="L58" i="1"/>
  <c r="M58" i="1"/>
  <c r="O58" i="1"/>
  <c r="P58" i="1"/>
  <c r="Q58" i="1"/>
  <c r="R58" i="1"/>
  <c r="T58" i="1"/>
  <c r="U58" i="1"/>
  <c r="V58" i="1"/>
  <c r="E58" i="1"/>
  <c r="O61" i="1"/>
  <c r="J62" i="1"/>
  <c r="O62" i="1"/>
  <c r="T62" i="1"/>
  <c r="K69" i="1"/>
  <c r="L69" i="1"/>
  <c r="M69" i="1"/>
  <c r="O69" i="1"/>
  <c r="P69" i="1"/>
  <c r="Q69" i="1"/>
  <c r="R69" i="1"/>
  <c r="T69" i="1"/>
  <c r="U69" i="1"/>
  <c r="V69" i="1"/>
  <c r="J69" i="1"/>
  <c r="I58" i="1"/>
  <c r="I55" i="1"/>
  <c r="I54" i="1"/>
  <c r="F8" i="4"/>
  <c r="G8" i="4"/>
  <c r="F9" i="4"/>
  <c r="G9" i="4"/>
  <c r="F10" i="4"/>
  <c r="G10" i="4"/>
  <c r="G13" i="4" s="1"/>
  <c r="F11" i="4"/>
  <c r="G11" i="4"/>
  <c r="E11" i="4"/>
  <c r="E10" i="4"/>
  <c r="E9" i="4"/>
  <c r="D9" i="4"/>
  <c r="E8" i="4"/>
  <c r="I8" i="4" s="1"/>
  <c r="D8" i="4"/>
  <c r="X55" i="1"/>
  <c r="L51" i="1"/>
  <c r="L56" i="1" s="1"/>
  <c r="H51" i="1"/>
  <c r="H56" i="1" s="1"/>
  <c r="G51" i="1"/>
  <c r="G56" i="1" s="1"/>
  <c r="I53" i="1"/>
  <c r="L70" i="1"/>
  <c r="L64" i="1"/>
  <c r="H64" i="1"/>
  <c r="G64" i="1"/>
  <c r="E65" i="1"/>
  <c r="P65" i="1"/>
  <c r="O65" i="1"/>
  <c r="L65" i="1"/>
  <c r="K65" i="1"/>
  <c r="J65" i="1"/>
  <c r="H65" i="1"/>
  <c r="G65" i="1"/>
  <c r="F65" i="1"/>
  <c r="L66" i="1"/>
  <c r="H66" i="1"/>
  <c r="G66" i="1"/>
  <c r="L62" i="1"/>
  <c r="U62" i="1"/>
  <c r="J25" i="8"/>
  <c r="K17" i="8"/>
  <c r="J17" i="8"/>
  <c r="K9" i="8"/>
  <c r="J9" i="8"/>
  <c r="P71" i="8"/>
  <c r="P72" i="8" s="1"/>
  <c r="P73" i="8"/>
  <c r="P63" i="8"/>
  <c r="P64" i="8" s="1"/>
  <c r="P65" i="8" s="1"/>
  <c r="P55" i="8"/>
  <c r="P47" i="8"/>
  <c r="P48" i="8" s="1"/>
  <c r="P49" i="8" s="1"/>
  <c r="M71" i="8"/>
  <c r="M72" i="8" s="1"/>
  <c r="M73" i="8" s="1"/>
  <c r="M63" i="8"/>
  <c r="M64" i="8" s="1"/>
  <c r="M65" i="8" s="1"/>
  <c r="M55" i="8"/>
  <c r="M56" i="8" s="1"/>
  <c r="M57" i="8" s="1"/>
  <c r="M47" i="8"/>
  <c r="M48" i="8" s="1"/>
  <c r="M49" i="8" s="1"/>
  <c r="L71" i="8"/>
  <c r="L72" i="8"/>
  <c r="L73" i="8" s="1"/>
  <c r="L63" i="8"/>
  <c r="L64" i="8" s="1"/>
  <c r="L65" i="8" s="1"/>
  <c r="L55" i="8"/>
  <c r="L56" i="8" s="1"/>
  <c r="L57" i="8" s="1"/>
  <c r="L47" i="8"/>
  <c r="L48" i="8" s="1"/>
  <c r="L49" i="8" s="1"/>
  <c r="K55" i="8"/>
  <c r="K56" i="8"/>
  <c r="K57" i="8" s="1"/>
  <c r="K47" i="8"/>
  <c r="K48" i="8" s="1"/>
  <c r="K49" i="8" s="1"/>
  <c r="O71" i="8"/>
  <c r="O72" i="8" s="1"/>
  <c r="T72" i="8" s="1"/>
  <c r="O63" i="8"/>
  <c r="O64" i="8" s="1"/>
  <c r="O55" i="8"/>
  <c r="O56" i="8" s="1"/>
  <c r="O47" i="8"/>
  <c r="O48" i="8" s="1"/>
  <c r="J33" i="8"/>
  <c r="Q35" i="8"/>
  <c r="Q36" i="8" s="1"/>
  <c r="Q37" i="8" s="1"/>
  <c r="P35" i="8"/>
  <c r="P36" i="8" s="1"/>
  <c r="P37" i="8" s="1"/>
  <c r="P33" i="8" s="1"/>
  <c r="O35" i="8"/>
  <c r="Q11" i="8"/>
  <c r="Q12" i="8" s="1"/>
  <c r="P11" i="8"/>
  <c r="O11" i="8"/>
  <c r="Q19" i="8"/>
  <c r="Q20" i="8" s="1"/>
  <c r="Q21" i="8" s="1"/>
  <c r="P19" i="8"/>
  <c r="O19" i="8"/>
  <c r="P27" i="8"/>
  <c r="Q27" i="8"/>
  <c r="Q28" i="8" s="1"/>
  <c r="Q29" i="8" s="1"/>
  <c r="O27" i="8"/>
  <c r="O28" i="8" s="1"/>
  <c r="O29" i="8" s="1"/>
  <c r="M35" i="8"/>
  <c r="M36" i="8" s="1"/>
  <c r="M37" i="8" s="1"/>
  <c r="M33" i="8" s="1"/>
  <c r="L35" i="8"/>
  <c r="L36" i="8"/>
  <c r="L37" i="8"/>
  <c r="L33" i="8" s="1"/>
  <c r="M19" i="8"/>
  <c r="M20" i="8" s="1"/>
  <c r="M21" i="8" s="1"/>
  <c r="L19" i="8"/>
  <c r="L20" i="8" s="1"/>
  <c r="L21" i="8" s="1"/>
  <c r="M11" i="8"/>
  <c r="M9" i="8" s="1"/>
  <c r="M12" i="8"/>
  <c r="M13" i="8" s="1"/>
  <c r="L27" i="8"/>
  <c r="L28" i="8" s="1"/>
  <c r="L29" i="8" s="1"/>
  <c r="L25" i="8" s="1"/>
  <c r="M27" i="8"/>
  <c r="M28" i="8"/>
  <c r="M29" i="8" s="1"/>
  <c r="M25" i="8" s="1"/>
  <c r="N32" i="8"/>
  <c r="N24" i="8"/>
  <c r="S39" i="1" s="1"/>
  <c r="N16" i="8"/>
  <c r="S34" i="1" s="1"/>
  <c r="N8" i="8"/>
  <c r="S29" i="1"/>
  <c r="K35" i="8"/>
  <c r="K36" i="8"/>
  <c r="K37" i="8" s="1"/>
  <c r="K33" i="8" s="1"/>
  <c r="K27" i="8"/>
  <c r="K28" i="8" s="1"/>
  <c r="K29" i="8" s="1"/>
  <c r="K25" i="8" s="1"/>
  <c r="K19" i="8"/>
  <c r="I8" i="8"/>
  <c r="N29" i="1" s="1"/>
  <c r="I16" i="8"/>
  <c r="N34" i="1"/>
  <c r="I24" i="8"/>
  <c r="I32" i="8"/>
  <c r="N44" i="1" s="1"/>
  <c r="Q47" i="8"/>
  <c r="Q63" i="8"/>
  <c r="P20" i="8"/>
  <c r="O12" i="8"/>
  <c r="P12" i="8"/>
  <c r="M17" i="8"/>
  <c r="L17" i="8"/>
  <c r="S8" i="8"/>
  <c r="S9" i="8" s="1"/>
  <c r="H8" i="4"/>
  <c r="S16" i="8"/>
  <c r="S17" i="8" s="1"/>
  <c r="H9" i="4"/>
  <c r="S24" i="8"/>
  <c r="H10" i="4"/>
  <c r="O65" i="8"/>
  <c r="O57" i="8"/>
  <c r="P13" i="8"/>
  <c r="P9" i="8"/>
  <c r="O13" i="8"/>
  <c r="O9" i="8"/>
  <c r="Q17" i="8"/>
  <c r="P17" i="8"/>
  <c r="O17" i="8"/>
  <c r="O25" i="8"/>
  <c r="X29" i="1"/>
  <c r="I10" i="4"/>
  <c r="S25" i="8"/>
  <c r="X39" i="1"/>
  <c r="V169" i="1"/>
  <c r="U170" i="1"/>
  <c r="U168" i="1" s="1"/>
  <c r="V170" i="1"/>
  <c r="V168" i="1" s="1"/>
  <c r="R170" i="1"/>
  <c r="R168" i="1"/>
  <c r="U166" i="1"/>
  <c r="V165" i="1"/>
  <c r="V166" i="1" s="1"/>
  <c r="V164" i="1"/>
  <c r="V163" i="1"/>
  <c r="Q163" i="1"/>
  <c r="V162" i="1"/>
  <c r="Q162" i="1"/>
  <c r="Q161" i="1"/>
  <c r="U159" i="1"/>
  <c r="V158" i="1"/>
  <c r="V157" i="1"/>
  <c r="V156" i="1"/>
  <c r="V155" i="1"/>
  <c r="P166" i="1"/>
  <c r="P159" i="1"/>
  <c r="U146" i="1"/>
  <c r="V146" i="1"/>
  <c r="U147" i="1"/>
  <c r="V147" i="1"/>
  <c r="U148" i="1"/>
  <c r="V148" i="1"/>
  <c r="U149" i="1"/>
  <c r="V149" i="1"/>
  <c r="U150" i="1"/>
  <c r="V150" i="1"/>
  <c r="U151" i="1"/>
  <c r="V151" i="1"/>
  <c r="P146" i="1"/>
  <c r="Q146" i="1"/>
  <c r="R146" i="1"/>
  <c r="P147" i="1"/>
  <c r="Q147" i="1"/>
  <c r="R147" i="1"/>
  <c r="R145" i="1" s="1"/>
  <c r="P148" i="1"/>
  <c r="Q148" i="1"/>
  <c r="R148" i="1"/>
  <c r="P149" i="1"/>
  <c r="Q149" i="1"/>
  <c r="R149" i="1"/>
  <c r="P150" i="1"/>
  <c r="Q150" i="1"/>
  <c r="R150" i="1"/>
  <c r="P151" i="1"/>
  <c r="Q151" i="1"/>
  <c r="R151" i="1"/>
  <c r="Q127" i="1"/>
  <c r="R127" i="1"/>
  <c r="T127" i="1"/>
  <c r="U127" i="1"/>
  <c r="U129" i="1" s="1"/>
  <c r="P127" i="1"/>
  <c r="P129" i="1" s="1"/>
  <c r="S122" i="1"/>
  <c r="S123" i="1"/>
  <c r="S124" i="1"/>
  <c r="S125" i="1"/>
  <c r="S126" i="1"/>
  <c r="S121" i="1"/>
  <c r="S119" i="1"/>
  <c r="S113" i="1"/>
  <c r="S114" i="1"/>
  <c r="T150" i="1" s="1"/>
  <c r="S115" i="1"/>
  <c r="T151" i="1"/>
  <c r="S112" i="1"/>
  <c r="P110" i="1"/>
  <c r="Q110" i="1"/>
  <c r="Q129" i="1" s="1"/>
  <c r="R110" i="1"/>
  <c r="S110" i="1" s="1"/>
  <c r="T110" i="1"/>
  <c r="U110" i="1"/>
  <c r="V110" i="1"/>
  <c r="S102" i="1"/>
  <c r="S103" i="1"/>
  <c r="T148" i="1" s="1"/>
  <c r="S100" i="1"/>
  <c r="V116" i="1"/>
  <c r="V127" i="1" s="1"/>
  <c r="V129" i="1" s="1"/>
  <c r="O125" i="1"/>
  <c r="O116" i="1"/>
  <c r="O104" i="1"/>
  <c r="O110" i="1"/>
  <c r="N102" i="1"/>
  <c r="N103" i="1"/>
  <c r="O148" i="1" s="1"/>
  <c r="N107" i="1"/>
  <c r="N109" i="1"/>
  <c r="N112" i="1"/>
  <c r="N113" i="1"/>
  <c r="O149" i="1" s="1"/>
  <c r="N114" i="1"/>
  <c r="O150" i="1" s="1"/>
  <c r="N115" i="1"/>
  <c r="O151" i="1"/>
  <c r="N119" i="1"/>
  <c r="N121" i="1"/>
  <c r="N122" i="1"/>
  <c r="N123" i="1"/>
  <c r="N124" i="1"/>
  <c r="N126" i="1"/>
  <c r="N100" i="1"/>
  <c r="M170" i="1"/>
  <c r="M157" i="1"/>
  <c r="N157" i="1" s="1"/>
  <c r="O157" i="1" s="1"/>
  <c r="L164" i="1"/>
  <c r="N164" i="1" s="1"/>
  <c r="O164" i="1" s="1"/>
  <c r="Q164" i="1" s="1"/>
  <c r="R164" i="1" s="1"/>
  <c r="S164" i="1" s="1"/>
  <c r="T164" i="1" s="1"/>
  <c r="M146" i="1"/>
  <c r="M147" i="1"/>
  <c r="N147" i="1" s="1"/>
  <c r="D15" i="10" s="1"/>
  <c r="M148" i="1"/>
  <c r="M149" i="1"/>
  <c r="M150" i="1"/>
  <c r="M151" i="1"/>
  <c r="M125" i="1"/>
  <c r="N125" i="1"/>
  <c r="K166" i="1"/>
  <c r="K159" i="1"/>
  <c r="K146" i="1"/>
  <c r="L146" i="1"/>
  <c r="K147" i="1"/>
  <c r="L147" i="1"/>
  <c r="K148" i="1"/>
  <c r="L148" i="1"/>
  <c r="K149" i="1"/>
  <c r="L149" i="1"/>
  <c r="K150" i="1"/>
  <c r="L150" i="1"/>
  <c r="K151" i="1"/>
  <c r="L151" i="1"/>
  <c r="K125" i="1"/>
  <c r="K116" i="1"/>
  <c r="K104" i="1"/>
  <c r="K110" i="1" s="1"/>
  <c r="K129" i="1" s="1"/>
  <c r="L125" i="1"/>
  <c r="L116" i="1"/>
  <c r="L104" i="1"/>
  <c r="L110" i="1" s="1"/>
  <c r="J169" i="1"/>
  <c r="J168" i="1"/>
  <c r="J165" i="1"/>
  <c r="J163" i="1"/>
  <c r="L163" i="1" s="1"/>
  <c r="M163" i="1" s="1"/>
  <c r="J162" i="1"/>
  <c r="L162" i="1" s="1"/>
  <c r="M162" i="1" s="1"/>
  <c r="J161" i="1"/>
  <c r="L161" i="1" s="1"/>
  <c r="J158" i="1"/>
  <c r="J156" i="1"/>
  <c r="J155" i="1"/>
  <c r="L155" i="1"/>
  <c r="J125" i="1"/>
  <c r="J127" i="1" s="1"/>
  <c r="J116" i="1"/>
  <c r="J104" i="1"/>
  <c r="J110" i="1" s="1"/>
  <c r="I97" i="1"/>
  <c r="I96" i="1"/>
  <c r="I89" i="1"/>
  <c r="I86" i="1"/>
  <c r="I85" i="1"/>
  <c r="I83" i="1"/>
  <c r="I82" i="1"/>
  <c r="I78" i="1"/>
  <c r="I77" i="1"/>
  <c r="I170" i="1"/>
  <c r="E169" i="1"/>
  <c r="E165" i="1"/>
  <c r="E163" i="1"/>
  <c r="I163" i="1" s="1"/>
  <c r="E162" i="1"/>
  <c r="E161" i="1"/>
  <c r="E158" i="1"/>
  <c r="I157" i="1"/>
  <c r="E155" i="1"/>
  <c r="E154" i="1"/>
  <c r="E138" i="1"/>
  <c r="E151" i="1"/>
  <c r="E150" i="1"/>
  <c r="E149" i="1"/>
  <c r="E148" i="1"/>
  <c r="E147" i="1"/>
  <c r="E146" i="1"/>
  <c r="F150" i="1"/>
  <c r="G150" i="1"/>
  <c r="H150" i="1"/>
  <c r="E152" i="1"/>
  <c r="H151" i="1"/>
  <c r="H149" i="1"/>
  <c r="H148" i="1"/>
  <c r="H147" i="1"/>
  <c r="H146" i="1"/>
  <c r="G169" i="1"/>
  <c r="G165" i="1"/>
  <c r="G164" i="1"/>
  <c r="G163" i="1"/>
  <c r="G162" i="1"/>
  <c r="G161" i="1"/>
  <c r="G158" i="1"/>
  <c r="I158" i="1" s="1"/>
  <c r="G156" i="1"/>
  <c r="G155" i="1"/>
  <c r="G154" i="1"/>
  <c r="G138" i="1" s="1"/>
  <c r="G152" i="1"/>
  <c r="G151" i="1"/>
  <c r="G149" i="1"/>
  <c r="G147" i="1"/>
  <c r="G148" i="1"/>
  <c r="I148" i="1" s="1"/>
  <c r="G146" i="1"/>
  <c r="H170" i="1"/>
  <c r="H169" i="1"/>
  <c r="H165" i="1"/>
  <c r="H164" i="1"/>
  <c r="H163" i="1"/>
  <c r="H162" i="1"/>
  <c r="H161" i="1"/>
  <c r="H158" i="1"/>
  <c r="H156" i="1"/>
  <c r="H155" i="1"/>
  <c r="H154" i="1"/>
  <c r="H138" i="1" s="1"/>
  <c r="H152" i="1"/>
  <c r="F159" i="1"/>
  <c r="F168" i="1" s="1"/>
  <c r="F151" i="1"/>
  <c r="F149" i="1"/>
  <c r="F145" i="1" s="1"/>
  <c r="F148" i="1"/>
  <c r="F147" i="1"/>
  <c r="F125" i="1"/>
  <c r="F116" i="1"/>
  <c r="F127" i="1" s="1"/>
  <c r="F104" i="1"/>
  <c r="F110" i="1" s="1"/>
  <c r="G125" i="1"/>
  <c r="G116" i="1"/>
  <c r="G127" i="1" s="1"/>
  <c r="G104" i="1"/>
  <c r="G110" i="1" s="1"/>
  <c r="I102" i="1"/>
  <c r="I103" i="1"/>
  <c r="J148" i="1"/>
  <c r="N148" i="1" s="1"/>
  <c r="D16" i="10" s="1"/>
  <c r="I107" i="1"/>
  <c r="I109" i="1"/>
  <c r="I112" i="1"/>
  <c r="I113" i="1"/>
  <c r="I114" i="1"/>
  <c r="J150" i="1" s="1"/>
  <c r="I115" i="1"/>
  <c r="J151" i="1"/>
  <c r="N151" i="1" s="1"/>
  <c r="D19" i="10" s="1"/>
  <c r="I119" i="1"/>
  <c r="I121" i="1"/>
  <c r="I122" i="1"/>
  <c r="I123" i="1"/>
  <c r="I124" i="1"/>
  <c r="I126" i="1"/>
  <c r="I100" i="1"/>
  <c r="H125" i="1"/>
  <c r="N97" i="1"/>
  <c r="N96" i="1"/>
  <c r="N89" i="1"/>
  <c r="N86" i="1"/>
  <c r="N85" i="1"/>
  <c r="N83" i="1"/>
  <c r="N82" i="1"/>
  <c r="N78" i="1"/>
  <c r="N77" i="1"/>
  <c r="S89" i="1"/>
  <c r="S86" i="1"/>
  <c r="S85" i="1"/>
  <c r="S83" i="1"/>
  <c r="S82" i="1"/>
  <c r="S78" i="1"/>
  <c r="S77" i="1"/>
  <c r="S97" i="1"/>
  <c r="S96" i="1"/>
  <c r="U142" i="1"/>
  <c r="E125" i="1"/>
  <c r="E116" i="1"/>
  <c r="E104" i="1"/>
  <c r="E110" i="1" s="1"/>
  <c r="J149" i="1"/>
  <c r="J147" i="1"/>
  <c r="J146" i="1"/>
  <c r="H137" i="1"/>
  <c r="H50" i="1"/>
  <c r="G137" i="1"/>
  <c r="G50" i="1"/>
  <c r="E137" i="1"/>
  <c r="L50" i="1"/>
  <c r="O147" i="1"/>
  <c r="O146" i="1"/>
  <c r="S146" i="1" s="1"/>
  <c r="E14" i="10" s="1"/>
  <c r="T146" i="1"/>
  <c r="O127" i="1"/>
  <c r="O129" i="1" s="1"/>
  <c r="I149" i="1"/>
  <c r="V159" i="1"/>
  <c r="M127" i="1"/>
  <c r="I147" i="1"/>
  <c r="I151" i="1"/>
  <c r="K127" i="1"/>
  <c r="T142" i="1"/>
  <c r="S80" i="1"/>
  <c r="N80" i="1"/>
  <c r="I162" i="1"/>
  <c r="M145" i="1"/>
  <c r="L158" i="1"/>
  <c r="M158" i="1" s="1"/>
  <c r="N158" i="1" s="1"/>
  <c r="O158" i="1" s="1"/>
  <c r="L169" i="1"/>
  <c r="M164" i="1"/>
  <c r="I146" i="1"/>
  <c r="E145" i="1"/>
  <c r="M161" i="1"/>
  <c r="L165" i="1"/>
  <c r="M165" i="1" s="1"/>
  <c r="I80" i="1"/>
  <c r="L156" i="1"/>
  <c r="M156" i="1" s="1"/>
  <c r="L168" i="1"/>
  <c r="M168" i="1" s="1"/>
  <c r="M171" i="1"/>
  <c r="N171" i="1" s="1"/>
  <c r="H145" i="1"/>
  <c r="N156" i="1"/>
  <c r="O156" i="1" s="1"/>
  <c r="N127" i="1"/>
  <c r="F171" i="1"/>
  <c r="G170" i="1" s="1"/>
  <c r="N163" i="1"/>
  <c r="O163" i="1" s="1"/>
  <c r="R163" i="1" s="1"/>
  <c r="N168" i="1"/>
  <c r="O168" i="1" s="1"/>
  <c r="Q168" i="1" s="1"/>
  <c r="I164" i="1"/>
  <c r="T48" i="8" l="1"/>
  <c r="O49" i="8"/>
  <c r="T49" i="8" s="1"/>
  <c r="W44" i="1"/>
  <c r="W46" i="1" s="1"/>
  <c r="H11" i="4"/>
  <c r="I11" i="4" s="1"/>
  <c r="S32" i="8"/>
  <c r="N8" i="1"/>
  <c r="N65" i="1" s="1"/>
  <c r="R94" i="1"/>
  <c r="R21" i="1" s="1"/>
  <c r="R62" i="1" s="1"/>
  <c r="R142" i="1"/>
  <c r="R18" i="1"/>
  <c r="I134" i="1"/>
  <c r="I135" i="1"/>
  <c r="M15" i="1"/>
  <c r="M90" i="1"/>
  <c r="V12" i="8"/>
  <c r="Q13" i="8"/>
  <c r="T13" i="8" s="1"/>
  <c r="Y13" i="8" s="1"/>
  <c r="AD13" i="8" s="1"/>
  <c r="AI13" i="8" s="1"/>
  <c r="AN13" i="8" s="1"/>
  <c r="T12" i="8"/>
  <c r="Y12" i="8" s="1"/>
  <c r="AD12" i="8" s="1"/>
  <c r="AI12" i="8" s="1"/>
  <c r="AN12" i="8" s="1"/>
  <c r="U12" i="8"/>
  <c r="Z12" i="8" s="1"/>
  <c r="AE12" i="8" s="1"/>
  <c r="AJ12" i="8" s="1"/>
  <c r="AO12" i="8" s="1"/>
  <c r="S87" i="1"/>
  <c r="Q90" i="1"/>
  <c r="Q15" i="1"/>
  <c r="M129" i="1"/>
  <c r="C3" i="11"/>
  <c r="N161" i="1"/>
  <c r="O161" i="1" s="1"/>
  <c r="N149" i="1"/>
  <c r="D17" i="10" s="1"/>
  <c r="S30" i="1"/>
  <c r="Q41" i="1"/>
  <c r="I143" i="1"/>
  <c r="M110" i="1"/>
  <c r="N110" i="1" s="1"/>
  <c r="C5" i="11" s="1"/>
  <c r="W74" i="1"/>
  <c r="X74" i="1" s="1"/>
  <c r="Y74" i="1" s="1"/>
  <c r="Z74" i="1" s="1"/>
  <c r="M8" i="1"/>
  <c r="M65" i="1" s="1"/>
  <c r="R15" i="1"/>
  <c r="V87" i="1"/>
  <c r="F129" i="1"/>
  <c r="N11" i="1"/>
  <c r="N54" i="1" s="1"/>
  <c r="N74" i="1" s="1"/>
  <c r="N13" i="1"/>
  <c r="T8" i="1"/>
  <c r="T65" i="1" s="1"/>
  <c r="U93" i="1"/>
  <c r="U20" i="1" s="1"/>
  <c r="U61" i="1" s="1"/>
  <c r="I8" i="1"/>
  <c r="Q8" i="1"/>
  <c r="Q65" i="1" s="1"/>
  <c r="J129" i="1"/>
  <c r="N165" i="1"/>
  <c r="O165" i="1" s="1"/>
  <c r="N135" i="1"/>
  <c r="T129" i="1"/>
  <c r="O73" i="8"/>
  <c r="T73" i="8" s="1"/>
  <c r="Y73" i="8" s="1"/>
  <c r="AD73" i="8" s="1"/>
  <c r="AI73" i="8" s="1"/>
  <c r="AN73" i="8" s="1"/>
  <c r="T71" i="8"/>
  <c r="V36" i="1"/>
  <c r="N10" i="10"/>
  <c r="W150" i="1"/>
  <c r="N152" i="1"/>
  <c r="O152" i="1" s="1"/>
  <c r="R152" i="1" s="1"/>
  <c r="S152" i="1" s="1"/>
  <c r="T152" i="1" s="1"/>
  <c r="N17" i="1"/>
  <c r="S10" i="1"/>
  <c r="I154" i="1"/>
  <c r="I165" i="1"/>
  <c r="L159" i="1"/>
  <c r="U145" i="1"/>
  <c r="I156" i="1"/>
  <c r="J159" i="1"/>
  <c r="M159" i="1" s="1"/>
  <c r="N159" i="1" s="1"/>
  <c r="S148" i="1"/>
  <c r="E16" i="10" s="1"/>
  <c r="R129" i="1"/>
  <c r="S149" i="1"/>
  <c r="E17" i="10" s="1"/>
  <c r="Q9" i="8"/>
  <c r="E13" i="4"/>
  <c r="T41" i="1"/>
  <c r="P46" i="1"/>
  <c r="AC53" i="1"/>
  <c r="I5" i="1"/>
  <c r="N5" i="1"/>
  <c r="N10" i="1"/>
  <c r="H166" i="1"/>
  <c r="S151" i="1"/>
  <c r="E19" i="10" s="1"/>
  <c r="X34" i="1"/>
  <c r="T47" i="8"/>
  <c r="Y47" i="8" s="1"/>
  <c r="AD47" i="8" s="1"/>
  <c r="AI47" i="8" s="1"/>
  <c r="AN47" i="8" s="1"/>
  <c r="U31" i="1"/>
  <c r="O46" i="1"/>
  <c r="R46" i="1"/>
  <c r="Q221" i="7"/>
  <c r="M152" i="1"/>
  <c r="U18" i="1"/>
  <c r="G129" i="1"/>
  <c r="X151" i="1"/>
  <c r="F19" i="10" s="1"/>
  <c r="T31" i="1"/>
  <c r="O36" i="1"/>
  <c r="N27" i="10"/>
  <c r="G90" i="1"/>
  <c r="J87" i="1"/>
  <c r="K87" i="1"/>
  <c r="S5" i="1"/>
  <c r="X53" i="1"/>
  <c r="F29" i="7"/>
  <c r="F30" i="7" s="1"/>
  <c r="F32" i="7" s="1"/>
  <c r="V17" i="7" s="1"/>
  <c r="H127" i="1"/>
  <c r="I125" i="1"/>
  <c r="V145" i="1"/>
  <c r="Q145" i="1"/>
  <c r="Q156" i="1"/>
  <c r="R156" i="1" s="1"/>
  <c r="P21" i="8"/>
  <c r="AT122" i="1"/>
  <c r="R161" i="1"/>
  <c r="S170" i="1"/>
  <c r="S168" i="1" s="1"/>
  <c r="O170" i="1"/>
  <c r="O171" i="1" s="1"/>
  <c r="P170" i="1" s="1"/>
  <c r="P171" i="1" s="1"/>
  <c r="Q170" i="1" s="1"/>
  <c r="Q157" i="1"/>
  <c r="S157" i="1" s="1"/>
  <c r="T157" i="1" s="1"/>
  <c r="S127" i="1"/>
  <c r="S129" i="1" s="1"/>
  <c r="P145" i="1"/>
  <c r="S147" i="1"/>
  <c r="E15" i="10" s="1"/>
  <c r="T147" i="1"/>
  <c r="S134" i="1"/>
  <c r="Q165" i="1"/>
  <c r="R165" i="1" s="1"/>
  <c r="M169" i="1"/>
  <c r="N169" i="1" s="1"/>
  <c r="O169" i="1" s="1"/>
  <c r="L127" i="1"/>
  <c r="L129" i="1" s="1"/>
  <c r="L145" i="1"/>
  <c r="S150" i="1"/>
  <c r="E18" i="10" s="1"/>
  <c r="Q158" i="1"/>
  <c r="R158" i="1" s="1"/>
  <c r="O145" i="1"/>
  <c r="N150" i="1"/>
  <c r="D18" i="10" s="1"/>
  <c r="K145" i="1"/>
  <c r="AW112" i="1"/>
  <c r="G145" i="1"/>
  <c r="I145" i="1" s="1"/>
  <c r="I150" i="1"/>
  <c r="E159" i="1"/>
  <c r="E168" i="1" s="1"/>
  <c r="M155" i="1"/>
  <c r="N155" i="1" s="1"/>
  <c r="O155" i="1" s="1"/>
  <c r="N162" i="1"/>
  <c r="O162" i="1" s="1"/>
  <c r="R162" i="1" s="1"/>
  <c r="J166" i="1"/>
  <c r="S44" i="1"/>
  <c r="N33" i="8"/>
  <c r="I155" i="1"/>
  <c r="I169" i="1"/>
  <c r="S41" i="1"/>
  <c r="S40" i="1" s="1"/>
  <c r="G166" i="1"/>
  <c r="G168" i="1" s="1"/>
  <c r="G171" i="1" s="1"/>
  <c r="I161" i="1"/>
  <c r="S163" i="1"/>
  <c r="T163" i="1" s="1"/>
  <c r="U73" i="8"/>
  <c r="E127" i="1"/>
  <c r="E129" i="1" s="1"/>
  <c r="X150" i="1"/>
  <c r="F18" i="10" s="1"/>
  <c r="N39" i="1"/>
  <c r="N25" i="8"/>
  <c r="R36" i="1"/>
  <c r="S36" i="1" s="1"/>
  <c r="S35" i="1" s="1"/>
  <c r="N146" i="1"/>
  <c r="D14" i="10" s="1"/>
  <c r="J145" i="1"/>
  <c r="I152" i="1"/>
  <c r="T149" i="1"/>
  <c r="S135" i="1"/>
  <c r="T44" i="8"/>
  <c r="Y30" i="1" s="1"/>
  <c r="Y48" i="8"/>
  <c r="U48" i="8"/>
  <c r="Y73" i="1"/>
  <c r="AD73" i="1" s="1"/>
  <c r="AI73" i="1" s="1"/>
  <c r="AN73" i="1" s="1"/>
  <c r="AS73" i="1" s="1"/>
  <c r="W73" i="1"/>
  <c r="AB73" i="1" s="1"/>
  <c r="AG73" i="1" s="1"/>
  <c r="AL73" i="1" s="1"/>
  <c r="AQ73" i="1" s="1"/>
  <c r="AV73" i="1" s="1"/>
  <c r="U46" i="1"/>
  <c r="X46" i="1" s="1"/>
  <c r="R135" i="1"/>
  <c r="R134" i="1"/>
  <c r="R133" i="1"/>
  <c r="N17" i="8"/>
  <c r="Q64" i="8"/>
  <c r="T63" i="8"/>
  <c r="U63" i="8"/>
  <c r="Z63" i="8" s="1"/>
  <c r="AE63" i="8" s="1"/>
  <c r="AJ63" i="8" s="1"/>
  <c r="AO63" i="8" s="1"/>
  <c r="Q25" i="8"/>
  <c r="O36" i="8"/>
  <c r="T35" i="8"/>
  <c r="P56" i="8"/>
  <c r="T56" i="8" s="1"/>
  <c r="T55" i="8"/>
  <c r="S31" i="1"/>
  <c r="H159" i="1"/>
  <c r="H168" i="1" s="1"/>
  <c r="H171" i="1" s="1"/>
  <c r="I171" i="1" s="1"/>
  <c r="E166" i="1"/>
  <c r="P28" i="8"/>
  <c r="F13" i="4"/>
  <c r="G135" i="1"/>
  <c r="G134" i="1"/>
  <c r="G133" i="1"/>
  <c r="P134" i="1"/>
  <c r="P133" i="1"/>
  <c r="P135" i="1"/>
  <c r="C7" i="11"/>
  <c r="Z114" i="1"/>
  <c r="Y150" i="1"/>
  <c r="I9" i="4"/>
  <c r="T19" i="8"/>
  <c r="O20" i="8"/>
  <c r="Q33" i="8"/>
  <c r="H135" i="1"/>
  <c r="Q133" i="1"/>
  <c r="Q134" i="1"/>
  <c r="Q135" i="1"/>
  <c r="L12" i="8"/>
  <c r="L13" i="8" s="1"/>
  <c r="L9" i="8"/>
  <c r="Z151" i="1"/>
  <c r="AA115" i="1"/>
  <c r="W148" i="1"/>
  <c r="X148" i="1" s="1"/>
  <c r="F16" i="10" s="1"/>
  <c r="X103" i="1"/>
  <c r="Y103" i="1" s="1"/>
  <c r="G159" i="1"/>
  <c r="L138" i="1"/>
  <c r="AA138" i="1" s="1"/>
  <c r="M154" i="1"/>
  <c r="M138" i="1" s="1"/>
  <c r="T27" i="8"/>
  <c r="U27" i="8" s="1"/>
  <c r="Z27" i="8" s="1"/>
  <c r="AE27" i="8" s="1"/>
  <c r="AJ27" i="8" s="1"/>
  <c r="AO27" i="8" s="1"/>
  <c r="J135" i="1"/>
  <c r="J134" i="1"/>
  <c r="J133" i="1"/>
  <c r="V134" i="1"/>
  <c r="V133" i="1"/>
  <c r="V135" i="1"/>
  <c r="W29" i="1"/>
  <c r="K134" i="1"/>
  <c r="K133" i="1"/>
  <c r="K135" i="1"/>
  <c r="U133" i="1"/>
  <c r="U134" i="1"/>
  <c r="U135" i="1"/>
  <c r="T11" i="8"/>
  <c r="L134" i="1"/>
  <c r="L133" i="1"/>
  <c r="L135" i="1"/>
  <c r="T133" i="1"/>
  <c r="T134" i="1"/>
  <c r="T135" i="1"/>
  <c r="N143" i="1"/>
  <c r="N9" i="8"/>
  <c r="U11" i="8"/>
  <c r="V11" i="8" s="1"/>
  <c r="T64" i="8"/>
  <c r="U72" i="8"/>
  <c r="M134" i="1"/>
  <c r="M133" i="1"/>
  <c r="M135" i="1"/>
  <c r="J138" i="1"/>
  <c r="T68" i="8"/>
  <c r="Y45" i="1" s="1"/>
  <c r="Y72" i="8"/>
  <c r="O135" i="1"/>
  <c r="O133" i="1"/>
  <c r="O134" i="1"/>
  <c r="W34" i="1"/>
  <c r="W36" i="1" s="1"/>
  <c r="X36" i="1" s="1"/>
  <c r="X35" i="1" s="1"/>
  <c r="D32" i="10"/>
  <c r="D44" i="10" s="1"/>
  <c r="X118" i="1"/>
  <c r="Y118" i="1" s="1"/>
  <c r="Z118" i="1" s="1"/>
  <c r="AA118" i="1" s="1"/>
  <c r="AB118" i="1" s="1"/>
  <c r="AC118" i="1" s="1"/>
  <c r="AD118" i="1" s="1"/>
  <c r="AE118" i="1" s="1"/>
  <c r="AF118" i="1" s="1"/>
  <c r="AG118" i="1" s="1"/>
  <c r="AH118" i="1" s="1"/>
  <c r="AI118" i="1" s="1"/>
  <c r="AJ118" i="1" s="1"/>
  <c r="AK118" i="1" s="1"/>
  <c r="AL118" i="1" s="1"/>
  <c r="AM118" i="1" s="1"/>
  <c r="AN118" i="1" s="1"/>
  <c r="AO118" i="1" s="1"/>
  <c r="AP118" i="1" s="1"/>
  <c r="AQ118" i="1" s="1"/>
  <c r="AR118" i="1" s="1"/>
  <c r="AS118" i="1" s="1"/>
  <c r="AT118" i="1" s="1"/>
  <c r="AU118" i="1" s="1"/>
  <c r="AV118" i="1" s="1"/>
  <c r="AW118" i="1" s="1"/>
  <c r="O137" i="1"/>
  <c r="Q143" i="1"/>
  <c r="AE13" i="1"/>
  <c r="AF13" i="1" s="1"/>
  <c r="AG13" i="1" s="1"/>
  <c r="AI13" i="1" s="1"/>
  <c r="G18" i="1"/>
  <c r="G94" i="1"/>
  <c r="G21" i="1" s="1"/>
  <c r="G62" i="1" s="1"/>
  <c r="G142" i="1"/>
  <c r="G93" i="1"/>
  <c r="G20" i="1" s="1"/>
  <c r="G61" i="1" s="1"/>
  <c r="S17" i="1"/>
  <c r="P138" i="1"/>
  <c r="Z138" i="1" s="1"/>
  <c r="P137" i="1"/>
  <c r="AE53" i="1"/>
  <c r="AF53" i="1" s="1"/>
  <c r="AG53" i="1" s="1"/>
  <c r="AI53" i="1" s="1"/>
  <c r="K90" i="1"/>
  <c r="K15" i="1"/>
  <c r="P90" i="1"/>
  <c r="P15" i="1"/>
  <c r="F87" i="1"/>
  <c r="O90" i="1"/>
  <c r="O15" i="1"/>
  <c r="Z137" i="1"/>
  <c r="W41" i="1"/>
  <c r="X41" i="1" s="1"/>
  <c r="X40" i="1" s="1"/>
  <c r="H93" i="1"/>
  <c r="H20" i="1" s="1"/>
  <c r="H94" i="1"/>
  <c r="H21" i="1" s="1"/>
  <c r="H62" i="1" s="1"/>
  <c r="L93" i="1"/>
  <c r="L20" i="1" s="1"/>
  <c r="S11" i="1"/>
  <c r="S54" i="1" s="1"/>
  <c r="S13" i="1"/>
  <c r="S8" i="1"/>
  <c r="S65" i="1" s="1"/>
  <c r="U8" i="1"/>
  <c r="U65" i="1" s="1"/>
  <c r="W65" i="1"/>
  <c r="E90" i="1"/>
  <c r="E15" i="1"/>
  <c r="J15" i="1"/>
  <c r="L142" i="1"/>
  <c r="L18" i="1"/>
  <c r="T15" i="1"/>
  <c r="H18" i="1"/>
  <c r="Q93" i="1"/>
  <c r="Q20" i="1" s="1"/>
  <c r="U15" i="1"/>
  <c r="T18" i="1"/>
  <c r="T93" i="1"/>
  <c r="T20" i="1" s="1"/>
  <c r="R93" i="1"/>
  <c r="R20" i="1" s="1"/>
  <c r="N58" i="1" l="1"/>
  <c r="D8" i="10"/>
  <c r="W12" i="8"/>
  <c r="AB12" i="8" s="1"/>
  <c r="AG12" i="8" s="1"/>
  <c r="AL12" i="8" s="1"/>
  <c r="AQ12" i="8" s="1"/>
  <c r="AA12" i="8"/>
  <c r="AF12" i="8" s="1"/>
  <c r="AK12" i="8" s="1"/>
  <c r="AP12" i="8" s="1"/>
  <c r="V72" i="8"/>
  <c r="W72" i="8" s="1"/>
  <c r="J151" i="7"/>
  <c r="D6" i="11"/>
  <c r="S49" i="1"/>
  <c r="S133" i="1"/>
  <c r="S69" i="1"/>
  <c r="I137" i="1"/>
  <c r="Q70" i="1"/>
  <c r="Q51" i="1"/>
  <c r="Q56" i="1" s="1"/>
  <c r="Q64" i="1"/>
  <c r="Q66" i="1"/>
  <c r="M66" i="1"/>
  <c r="M51" i="1"/>
  <c r="M64" i="1"/>
  <c r="M70" i="1"/>
  <c r="S33" i="8"/>
  <c r="X44" i="1"/>
  <c r="X45" i="1" s="1"/>
  <c r="Q166" i="1"/>
  <c r="N55" i="1"/>
  <c r="N53" i="1"/>
  <c r="N154" i="1"/>
  <c r="N87" i="1"/>
  <c r="H13" i="4"/>
  <c r="AH13" i="1"/>
  <c r="AA134" i="1"/>
  <c r="I13" i="4"/>
  <c r="C9" i="11"/>
  <c r="E13" i="10"/>
  <c r="C8" i="11"/>
  <c r="N73" i="1"/>
  <c r="Y71" i="8"/>
  <c r="AD71" i="8" s="1"/>
  <c r="AI71" i="8" s="1"/>
  <c r="AN71" i="8" s="1"/>
  <c r="V71" i="8"/>
  <c r="AA71" i="8" s="1"/>
  <c r="AF71" i="8" s="1"/>
  <c r="AK71" i="8" s="1"/>
  <c r="AP71" i="8" s="1"/>
  <c r="W71" i="8"/>
  <c r="AB71" i="8" s="1"/>
  <c r="AG71" i="8" s="1"/>
  <c r="AL71" i="8" s="1"/>
  <c r="AQ71" i="8" s="1"/>
  <c r="U71" i="8"/>
  <c r="Z71" i="8" s="1"/>
  <c r="AE71" i="8" s="1"/>
  <c r="AJ71" i="8" s="1"/>
  <c r="AO71" i="8" s="1"/>
  <c r="I65" i="1"/>
  <c r="V90" i="1"/>
  <c r="V15" i="1"/>
  <c r="N129" i="1"/>
  <c r="Y49" i="8"/>
  <c r="AD49" i="8" s="1"/>
  <c r="AI49" i="8" s="1"/>
  <c r="AN49" i="8" s="1"/>
  <c r="U49" i="8"/>
  <c r="Z49" i="8" s="1"/>
  <c r="AE49" i="8" s="1"/>
  <c r="AJ49" i="8" s="1"/>
  <c r="AO49" i="8" s="1"/>
  <c r="M94" i="1"/>
  <c r="M21" i="1" s="1"/>
  <c r="M62" i="1" s="1"/>
  <c r="M93" i="1"/>
  <c r="M20" i="1" s="1"/>
  <c r="M61" i="1" s="1"/>
  <c r="M18" i="1"/>
  <c r="M142" i="1"/>
  <c r="U59" i="1"/>
  <c r="U67" i="1"/>
  <c r="D3" i="11"/>
  <c r="Q94" i="1"/>
  <c r="Q21" i="1" s="1"/>
  <c r="Q62" i="1" s="1"/>
  <c r="Q142" i="1"/>
  <c r="S74" i="1"/>
  <c r="D9" i="11"/>
  <c r="U47" i="8"/>
  <c r="V47" i="8" s="1"/>
  <c r="AA47" i="8" s="1"/>
  <c r="AF47" i="8" s="1"/>
  <c r="AK47" i="8" s="1"/>
  <c r="AP47" i="8" s="1"/>
  <c r="S158" i="1"/>
  <c r="T158" i="1" s="1"/>
  <c r="J90" i="1"/>
  <c r="J142" i="1" s="1"/>
  <c r="N142" i="1" s="1"/>
  <c r="Q18" i="1"/>
  <c r="Q59" i="1" s="1"/>
  <c r="U13" i="8"/>
  <c r="V13" i="8" s="1"/>
  <c r="AA13" i="8" s="1"/>
  <c r="AF13" i="8" s="1"/>
  <c r="AK13" i="8" s="1"/>
  <c r="AP13" i="8" s="1"/>
  <c r="J150" i="7"/>
  <c r="D4" i="11"/>
  <c r="N69" i="1"/>
  <c r="C6" i="11"/>
  <c r="N49" i="1"/>
  <c r="N133" i="1"/>
  <c r="I138" i="1"/>
  <c r="D5" i="11"/>
  <c r="R51" i="1"/>
  <c r="R56" i="1" s="1"/>
  <c r="R70" i="1"/>
  <c r="R64" i="1"/>
  <c r="R66" i="1"/>
  <c r="R67" i="1"/>
  <c r="R59" i="1"/>
  <c r="S156" i="1"/>
  <c r="T156" i="1" s="1"/>
  <c r="S46" i="1"/>
  <c r="S45" i="1" s="1"/>
  <c r="J149" i="7"/>
  <c r="C4" i="11"/>
  <c r="I133" i="1"/>
  <c r="I74" i="1"/>
  <c r="I49" i="1"/>
  <c r="D8" i="11"/>
  <c r="S73" i="1"/>
  <c r="I73" i="1"/>
  <c r="Q169" i="1"/>
  <c r="R169" i="1" s="1"/>
  <c r="N170" i="1"/>
  <c r="J170" i="1"/>
  <c r="J171" i="1" s="1"/>
  <c r="K170" i="1" s="1"/>
  <c r="K171" i="1" s="1"/>
  <c r="L170" i="1" s="1"/>
  <c r="T52" i="8"/>
  <c r="Y35" i="1" s="1"/>
  <c r="Y56" i="8"/>
  <c r="L166" i="1"/>
  <c r="M166" i="1" s="1"/>
  <c r="T145" i="1"/>
  <c r="S53" i="1"/>
  <c r="S55" i="1"/>
  <c r="S162" i="1"/>
  <c r="T162" i="1" s="1"/>
  <c r="U51" i="1"/>
  <c r="U70" i="1"/>
  <c r="U64" i="1"/>
  <c r="U66" i="1"/>
  <c r="O18" i="1"/>
  <c r="S90" i="1"/>
  <c r="S142" i="1" s="1"/>
  <c r="O142" i="1"/>
  <c r="AH53" i="1"/>
  <c r="Q137" i="1"/>
  <c r="AA137" i="1" s="1"/>
  <c r="R143" i="1"/>
  <c r="D10" i="10"/>
  <c r="N137" i="1"/>
  <c r="T9" i="8"/>
  <c r="T8" i="8" s="1"/>
  <c r="Y11" i="8"/>
  <c r="W11" i="8"/>
  <c r="I166" i="1"/>
  <c r="O37" i="8"/>
  <c r="T36" i="8"/>
  <c r="Q155" i="1"/>
  <c r="U9" i="8"/>
  <c r="U8" i="8" s="1"/>
  <c r="Z11" i="8"/>
  <c r="N15" i="1"/>
  <c r="J51" i="1"/>
  <c r="J64" i="1"/>
  <c r="J70" i="1"/>
  <c r="J66" i="1"/>
  <c r="S15" i="1"/>
  <c r="S64" i="1" s="1"/>
  <c r="O64" i="1"/>
  <c r="O66" i="1"/>
  <c r="O70" i="1"/>
  <c r="O51" i="1"/>
  <c r="O154" i="1"/>
  <c r="D11" i="10"/>
  <c r="N138" i="1"/>
  <c r="T17" i="8"/>
  <c r="T16" i="8" s="1"/>
  <c r="Y19" i="8"/>
  <c r="P29" i="8"/>
  <c r="T28" i="8"/>
  <c r="E51" i="1"/>
  <c r="E64" i="1"/>
  <c r="E66" i="1"/>
  <c r="Z135" i="1"/>
  <c r="U19" i="8"/>
  <c r="V19" i="8" s="1"/>
  <c r="Z103" i="1"/>
  <c r="Y148" i="1"/>
  <c r="I159" i="1"/>
  <c r="R166" i="1"/>
  <c r="AE137" i="1"/>
  <c r="Y64" i="8"/>
  <c r="T60" i="8"/>
  <c r="Y40" i="1" s="1"/>
  <c r="AF134" i="1"/>
  <c r="Z13" i="8"/>
  <c r="AE13" i="8" s="1"/>
  <c r="AJ13" i="8" s="1"/>
  <c r="AO13" i="8" s="1"/>
  <c r="W13" i="8"/>
  <c r="AB13" i="8" s="1"/>
  <c r="AG13" i="8" s="1"/>
  <c r="AL13" i="8" s="1"/>
  <c r="AQ13" i="8" s="1"/>
  <c r="T20" i="8"/>
  <c r="O21" i="8"/>
  <c r="T21" i="8" s="1"/>
  <c r="U56" i="8"/>
  <c r="V56" i="8" s="1"/>
  <c r="P57" i="8"/>
  <c r="AA74" i="1"/>
  <c r="K94" i="1"/>
  <c r="K93" i="1"/>
  <c r="K20" i="1" s="1"/>
  <c r="K18" i="1"/>
  <c r="K142" i="1"/>
  <c r="AJ53" i="1"/>
  <c r="AK53" i="1" s="1"/>
  <c r="AL53" i="1" s="1"/>
  <c r="AN53" i="1" s="1"/>
  <c r="AD72" i="8"/>
  <c r="Y68" i="8"/>
  <c r="AD45" i="1" s="1"/>
  <c r="W134" i="1"/>
  <c r="Y134" i="1"/>
  <c r="W49" i="1"/>
  <c r="W31" i="1"/>
  <c r="E171" i="1"/>
  <c r="I168" i="1"/>
  <c r="N145" i="1"/>
  <c r="W73" i="8"/>
  <c r="AB73" i="8" s="1"/>
  <c r="AG73" i="8" s="1"/>
  <c r="AL73" i="8" s="1"/>
  <c r="AQ73" i="8" s="1"/>
  <c r="Z73" i="8"/>
  <c r="AE73" i="8" s="1"/>
  <c r="AJ73" i="8" s="1"/>
  <c r="AO73" i="8" s="1"/>
  <c r="V73" i="8"/>
  <c r="AA73" i="8" s="1"/>
  <c r="AF73" i="8" s="1"/>
  <c r="AK73" i="8" s="1"/>
  <c r="AP73" i="8" s="1"/>
  <c r="H129" i="1"/>
  <c r="I127" i="1"/>
  <c r="I129" i="1" s="1"/>
  <c r="L59" i="1"/>
  <c r="L67" i="1"/>
  <c r="S58" i="1"/>
  <c r="E8" i="10"/>
  <c r="Q65" i="8"/>
  <c r="U21" i="8"/>
  <c r="Z21" i="8" s="1"/>
  <c r="AE21" i="8" s="1"/>
  <c r="AJ21" i="8" s="1"/>
  <c r="AO21" i="8" s="1"/>
  <c r="K51" i="1"/>
  <c r="K64" i="1"/>
  <c r="K66" i="1"/>
  <c r="U64" i="8"/>
  <c r="V64" i="8" s="1"/>
  <c r="Y35" i="8"/>
  <c r="AD35" i="8" s="1"/>
  <c r="AI35" i="8" s="1"/>
  <c r="AN35" i="8" s="1"/>
  <c r="U35" i="8"/>
  <c r="Z35" i="8" s="1"/>
  <c r="AE35" i="8" s="1"/>
  <c r="AJ35" i="8" s="1"/>
  <c r="AO35" i="8" s="1"/>
  <c r="V35" i="8"/>
  <c r="AA35" i="8" s="1"/>
  <c r="AF35" i="8" s="1"/>
  <c r="AK35" i="8" s="1"/>
  <c r="AP35" i="8" s="1"/>
  <c r="F90" i="1"/>
  <c r="I90" i="1" s="1"/>
  <c r="F15" i="1"/>
  <c r="I15" i="1" s="1"/>
  <c r="I87" i="1"/>
  <c r="G59" i="1"/>
  <c r="G67" i="1"/>
  <c r="V27" i="8"/>
  <c r="AA27" i="8" s="1"/>
  <c r="AF27" i="8" s="1"/>
  <c r="AK27" i="8" s="1"/>
  <c r="AP27" i="8" s="1"/>
  <c r="Y27" i="8"/>
  <c r="AD27" i="8" s="1"/>
  <c r="AI27" i="8" s="1"/>
  <c r="AN27" i="8" s="1"/>
  <c r="H59" i="1"/>
  <c r="H67" i="1"/>
  <c r="H61" i="1"/>
  <c r="M71" i="1"/>
  <c r="P94" i="1"/>
  <c r="P18" i="1"/>
  <c r="P93" i="1"/>
  <c r="P142" i="1"/>
  <c r="AE138" i="1"/>
  <c r="D45" i="10"/>
  <c r="N26" i="10"/>
  <c r="N9" i="10"/>
  <c r="N43" i="10"/>
  <c r="W133" i="1"/>
  <c r="Y133" i="1"/>
  <c r="Z133" i="1"/>
  <c r="AA135" i="1"/>
  <c r="AA151" i="1"/>
  <c r="AB115" i="1"/>
  <c r="U44" i="8"/>
  <c r="Z30" i="1" s="1"/>
  <c r="V48" i="8"/>
  <c r="W48" i="8"/>
  <c r="Z48" i="8"/>
  <c r="D13" i="10"/>
  <c r="S145" i="1"/>
  <c r="S165" i="1"/>
  <c r="T165" i="1" s="1"/>
  <c r="AU122" i="1"/>
  <c r="V9" i="8"/>
  <c r="V8" i="8" s="1"/>
  <c r="AA11" i="8"/>
  <c r="Y55" i="8"/>
  <c r="AD55" i="8" s="1"/>
  <c r="AI55" i="8" s="1"/>
  <c r="AN55" i="8" s="1"/>
  <c r="T61" i="1"/>
  <c r="T71" i="1"/>
  <c r="T59" i="1"/>
  <c r="T67" i="1"/>
  <c r="L61" i="1"/>
  <c r="L71" i="1"/>
  <c r="W135" i="1"/>
  <c r="Y135" i="1"/>
  <c r="Q61" i="1"/>
  <c r="Q71" i="1"/>
  <c r="E18" i="1"/>
  <c r="E142" i="1"/>
  <c r="E93" i="1"/>
  <c r="E94" i="1"/>
  <c r="P64" i="1"/>
  <c r="P66" i="1"/>
  <c r="P51" i="1"/>
  <c r="P70" i="1"/>
  <c r="Z134" i="1"/>
  <c r="R71" i="1"/>
  <c r="R61" i="1"/>
  <c r="T51" i="1"/>
  <c r="T70" i="1"/>
  <c r="T66" i="1"/>
  <c r="T64" i="1"/>
  <c r="Y65" i="1"/>
  <c r="Z65" i="1" s="1"/>
  <c r="AA65" i="1" s="1"/>
  <c r="AB65" i="1" s="1"/>
  <c r="AC65" i="1" s="1"/>
  <c r="AD65" i="1" s="1"/>
  <c r="AE65" i="1" s="1"/>
  <c r="AF65" i="1" s="1"/>
  <c r="AG65" i="1" s="1"/>
  <c r="AH65" i="1" s="1"/>
  <c r="AI65" i="1" s="1"/>
  <c r="AJ65" i="1" s="1"/>
  <c r="AK65" i="1" s="1"/>
  <c r="AL65" i="1" s="1"/>
  <c r="AM65" i="1" s="1"/>
  <c r="AN65" i="1" s="1"/>
  <c r="AO65" i="1" s="1"/>
  <c r="AP65" i="1" s="1"/>
  <c r="AQ65" i="1" s="1"/>
  <c r="AR65" i="1" s="1"/>
  <c r="AS65" i="1" s="1"/>
  <c r="AT65" i="1" s="1"/>
  <c r="AU65" i="1" s="1"/>
  <c r="AV65" i="1" s="1"/>
  <c r="AW65" i="1" s="1"/>
  <c r="D42" i="10"/>
  <c r="AF138" i="1"/>
  <c r="AJ13" i="1"/>
  <c r="AK13" i="1" s="1"/>
  <c r="AL13" i="1" s="1"/>
  <c r="AN13" i="1" s="1"/>
  <c r="U68" i="8"/>
  <c r="Z45" i="1" s="1"/>
  <c r="Z72" i="8"/>
  <c r="AA133" i="1"/>
  <c r="AA114" i="1"/>
  <c r="Z150" i="1"/>
  <c r="U55" i="8"/>
  <c r="Z55" i="8" s="1"/>
  <c r="AE55" i="8" s="1"/>
  <c r="AJ55" i="8" s="1"/>
  <c r="AO55" i="8" s="1"/>
  <c r="Y63" i="8"/>
  <c r="AD63" i="8" s="1"/>
  <c r="AI63" i="8" s="1"/>
  <c r="AN63" i="8" s="1"/>
  <c r="V63" i="8"/>
  <c r="AA63" i="8" s="1"/>
  <c r="AF63" i="8" s="1"/>
  <c r="AK63" i="8" s="1"/>
  <c r="AP63" i="8" s="1"/>
  <c r="Y44" i="8"/>
  <c r="AD30" i="1" s="1"/>
  <c r="AD48" i="8"/>
  <c r="S161" i="1"/>
  <c r="W68" i="8" l="1"/>
  <c r="AB45" i="1" s="1"/>
  <c r="AB72" i="8"/>
  <c r="V49" i="8"/>
  <c r="AA49" i="8" s="1"/>
  <c r="AF49" i="8" s="1"/>
  <c r="AK49" i="8" s="1"/>
  <c r="AP49" i="8" s="1"/>
  <c r="W64" i="8"/>
  <c r="N90" i="1"/>
  <c r="Q67" i="1"/>
  <c r="Q50" i="1"/>
  <c r="J18" i="1"/>
  <c r="M59" i="1"/>
  <c r="M67" i="1"/>
  <c r="V70" i="1"/>
  <c r="V51" i="1"/>
  <c r="V64" i="1"/>
  <c r="V66" i="1"/>
  <c r="M56" i="1"/>
  <c r="M50" i="1"/>
  <c r="J93" i="1"/>
  <c r="V18" i="1"/>
  <c r="V94" i="1"/>
  <c r="V21" i="1" s="1"/>
  <c r="V62" i="1" s="1"/>
  <c r="V142" i="1"/>
  <c r="V93" i="1"/>
  <c r="V20" i="1" s="1"/>
  <c r="Z47" i="8"/>
  <c r="AE47" i="8" s="1"/>
  <c r="AJ47" i="8" s="1"/>
  <c r="AO47" i="8" s="1"/>
  <c r="K150" i="7"/>
  <c r="V68" i="8"/>
  <c r="AA45" i="1" s="1"/>
  <c r="W27" i="8"/>
  <c r="AB27" i="8" s="1"/>
  <c r="AG27" i="8" s="1"/>
  <c r="AL27" i="8" s="1"/>
  <c r="AQ27" i="8" s="1"/>
  <c r="AA72" i="8"/>
  <c r="N166" i="1"/>
  <c r="O166" i="1" s="1"/>
  <c r="W49" i="8"/>
  <c r="AB49" i="8" s="1"/>
  <c r="AG49" i="8" s="1"/>
  <c r="AL49" i="8" s="1"/>
  <c r="AQ49" i="8" s="1"/>
  <c r="K151" i="7"/>
  <c r="AA19" i="8"/>
  <c r="V17" i="8"/>
  <c r="V16" i="8" s="1"/>
  <c r="W19" i="8"/>
  <c r="I51" i="1"/>
  <c r="I64" i="1"/>
  <c r="I66" i="1"/>
  <c r="AD19" i="8"/>
  <c r="Y17" i="8"/>
  <c r="Y16" i="8" s="1"/>
  <c r="J20" i="1"/>
  <c r="N93" i="1"/>
  <c r="K70" i="1"/>
  <c r="Z29" i="1"/>
  <c r="K8" i="4"/>
  <c r="AB74" i="1"/>
  <c r="E50" i="1"/>
  <c r="E56" i="1"/>
  <c r="AD11" i="8"/>
  <c r="Y9" i="8"/>
  <c r="Y8" i="8" s="1"/>
  <c r="AA68" i="8"/>
  <c r="AF45" i="1" s="1"/>
  <c r="AF72" i="8"/>
  <c r="AB133" i="1"/>
  <c r="P20" i="1"/>
  <c r="S93" i="1"/>
  <c r="W51" i="1"/>
  <c r="X31" i="1"/>
  <c r="X30" i="1" s="1"/>
  <c r="T57" i="8"/>
  <c r="Q159" i="1"/>
  <c r="R155" i="1"/>
  <c r="S155" i="1" s="1"/>
  <c r="T155" i="1" s="1"/>
  <c r="Y29" i="1"/>
  <c r="J8" i="4"/>
  <c r="X8" i="8"/>
  <c r="AE134" i="1"/>
  <c r="AF135" i="1"/>
  <c r="I18" i="1"/>
  <c r="E67" i="1"/>
  <c r="E59" i="1"/>
  <c r="AO53" i="1"/>
  <c r="AP53" i="1" s="1"/>
  <c r="AQ53" i="1" s="1"/>
  <c r="AS53" i="1" s="1"/>
  <c r="W44" i="8"/>
  <c r="AB30" i="1" s="1"/>
  <c r="AB48" i="8"/>
  <c r="AM53" i="1"/>
  <c r="AA29" i="1"/>
  <c r="AA8" i="8"/>
  <c r="L8" i="4"/>
  <c r="W35" i="8"/>
  <c r="AB35" i="8" s="1"/>
  <c r="AG35" i="8" s="1"/>
  <c r="AL35" i="8" s="1"/>
  <c r="AQ35" i="8" s="1"/>
  <c r="W5" i="1"/>
  <c r="W101" i="1" s="1"/>
  <c r="X49" i="1"/>
  <c r="U52" i="8"/>
  <c r="Z35" i="1" s="1"/>
  <c r="Z56" i="8"/>
  <c r="W60" i="8"/>
  <c r="AB40" i="1" s="1"/>
  <c r="AB64" i="8"/>
  <c r="Y36" i="8"/>
  <c r="AD36" i="8" s="1"/>
  <c r="AI36" i="8" s="1"/>
  <c r="AN36" i="8" s="1"/>
  <c r="U36" i="8"/>
  <c r="Z36" i="8" s="1"/>
  <c r="AE36" i="8" s="1"/>
  <c r="AJ36" i="8" s="1"/>
  <c r="AO36" i="8" s="1"/>
  <c r="V36" i="8"/>
  <c r="AA36" i="8" s="1"/>
  <c r="AF36" i="8" s="1"/>
  <c r="AK36" i="8" s="1"/>
  <c r="AP36" i="8" s="1"/>
  <c r="F64" i="1"/>
  <c r="F66" i="1"/>
  <c r="F51" i="1"/>
  <c r="K21" i="1"/>
  <c r="N94" i="1"/>
  <c r="Z9" i="8"/>
  <c r="Z8" i="8" s="1"/>
  <c r="AE11" i="8"/>
  <c r="AA56" i="8"/>
  <c r="V52" i="8"/>
  <c r="AA35" i="1" s="1"/>
  <c r="Z44" i="8"/>
  <c r="AE30" i="1" s="1"/>
  <c r="AE48" i="8"/>
  <c r="AK134" i="1"/>
  <c r="W9" i="8"/>
  <c r="W8" i="8" s="1"/>
  <c r="AB11" i="8"/>
  <c r="AD133" i="1"/>
  <c r="Y34" i="1"/>
  <c r="Y36" i="1" s="1"/>
  <c r="J9" i="4"/>
  <c r="V44" i="8"/>
  <c r="AA30" i="1" s="1"/>
  <c r="AA48" i="8"/>
  <c r="P59" i="1"/>
  <c r="P67" i="1"/>
  <c r="AA150" i="1"/>
  <c r="AB114" i="1"/>
  <c r="AM13" i="1"/>
  <c r="T56" i="1"/>
  <c r="AD135" i="1"/>
  <c r="AV122" i="1"/>
  <c r="P21" i="1"/>
  <c r="S94" i="1"/>
  <c r="V60" i="8"/>
  <c r="AA40" i="1" s="1"/>
  <c r="AA64" i="8"/>
  <c r="AD134" i="1"/>
  <c r="Y21" i="8"/>
  <c r="AD21" i="8" s="1"/>
  <c r="AI21" i="8" s="1"/>
  <c r="AN21" i="8" s="1"/>
  <c r="V21" i="8"/>
  <c r="AA21" i="8" s="1"/>
  <c r="AF21" i="8" s="1"/>
  <c r="AK21" i="8" s="1"/>
  <c r="AP21" i="8" s="1"/>
  <c r="Y60" i="8"/>
  <c r="AD40" i="1" s="1"/>
  <c r="AD64" i="8"/>
  <c r="AA103" i="1"/>
  <c r="Z148" i="1"/>
  <c r="Y28" i="8"/>
  <c r="AD28" i="8" s="1"/>
  <c r="AI28" i="8" s="1"/>
  <c r="AN28" i="8" s="1"/>
  <c r="O138" i="1"/>
  <c r="O159" i="1"/>
  <c r="R154" i="1"/>
  <c r="T37" i="8"/>
  <c r="O33" i="8"/>
  <c r="S18" i="1"/>
  <c r="O67" i="1"/>
  <c r="O59" i="1"/>
  <c r="U56" i="1"/>
  <c r="U50" i="1"/>
  <c r="Y52" i="8"/>
  <c r="AD35" i="1" s="1"/>
  <c r="AD56" i="8"/>
  <c r="Z68" i="8"/>
  <c r="AE45" i="1" s="1"/>
  <c r="AE72" i="8"/>
  <c r="F94" i="1"/>
  <c r="F21" i="1" s="1"/>
  <c r="F62" i="1" s="1"/>
  <c r="F18" i="1"/>
  <c r="F142" i="1"/>
  <c r="I142" i="1" s="1"/>
  <c r="F93" i="1"/>
  <c r="F20" i="1" s="1"/>
  <c r="F61" i="1" s="1"/>
  <c r="AF137" i="1"/>
  <c r="W63" i="8"/>
  <c r="AB63" i="8" s="1"/>
  <c r="AG63" i="8" s="1"/>
  <c r="AL63" i="8" s="1"/>
  <c r="AQ63" i="8" s="1"/>
  <c r="P50" i="1"/>
  <c r="P56" i="1"/>
  <c r="AA9" i="8"/>
  <c r="AF11" i="8"/>
  <c r="K50" i="1"/>
  <c r="K56" i="1"/>
  <c r="AO13" i="1"/>
  <c r="AP13" i="1" s="1"/>
  <c r="AQ13" i="1" s="1"/>
  <c r="AS13" i="1" s="1"/>
  <c r="T65" i="8"/>
  <c r="S166" i="1"/>
  <c r="T161" i="1"/>
  <c r="T166" i="1" s="1"/>
  <c r="AD44" i="8"/>
  <c r="AI30" i="1" s="1"/>
  <c r="AI48" i="8"/>
  <c r="AK138" i="1"/>
  <c r="E21" i="1"/>
  <c r="AB135" i="1"/>
  <c r="AC115" i="1"/>
  <c r="AD115" i="1" s="1"/>
  <c r="AB151" i="1"/>
  <c r="AC151" i="1" s="1"/>
  <c r="G19" i="10" s="1"/>
  <c r="U60" i="8"/>
  <c r="Z40" i="1" s="1"/>
  <c r="Z64" i="8"/>
  <c r="AB134" i="1"/>
  <c r="K67" i="1"/>
  <c r="K59" i="1"/>
  <c r="Y20" i="8"/>
  <c r="AD20" i="8" s="1"/>
  <c r="AI20" i="8" s="1"/>
  <c r="AN20" i="8" s="1"/>
  <c r="U20" i="8"/>
  <c r="Z20" i="8" s="1"/>
  <c r="AE20" i="8" s="1"/>
  <c r="AJ20" i="8" s="1"/>
  <c r="AO20" i="8" s="1"/>
  <c r="AJ137" i="1"/>
  <c r="U17" i="8"/>
  <c r="U16" i="8" s="1"/>
  <c r="Z19" i="8"/>
  <c r="U28" i="8"/>
  <c r="Z28" i="8" s="1"/>
  <c r="AE28" i="8" s="1"/>
  <c r="AJ28" i="8" s="1"/>
  <c r="AO28" i="8" s="1"/>
  <c r="O56" i="1"/>
  <c r="O50" i="1"/>
  <c r="J56" i="1"/>
  <c r="J50" i="1"/>
  <c r="W56" i="8"/>
  <c r="S169" i="1"/>
  <c r="T169" i="1" s="1"/>
  <c r="AJ138" i="1"/>
  <c r="AD68" i="8"/>
  <c r="AI45" i="1" s="1"/>
  <c r="AI72" i="8"/>
  <c r="R137" i="1"/>
  <c r="R50" i="1"/>
  <c r="S143" i="1"/>
  <c r="AE133" i="1"/>
  <c r="S51" i="1"/>
  <c r="S70" i="1"/>
  <c r="S66" i="1"/>
  <c r="AF133" i="1"/>
  <c r="E20" i="1"/>
  <c r="AB68" i="8"/>
  <c r="AG45" i="1" s="1"/>
  <c r="AG72" i="8"/>
  <c r="V55" i="8"/>
  <c r="K61" i="1"/>
  <c r="AE135" i="1"/>
  <c r="P25" i="8"/>
  <c r="T29" i="8"/>
  <c r="N66" i="1"/>
  <c r="N51" i="1"/>
  <c r="N64" i="1"/>
  <c r="N70" i="1"/>
  <c r="W47" i="8"/>
  <c r="AB47" i="8" s="1"/>
  <c r="AG47" i="8" s="1"/>
  <c r="AL47" i="8" s="1"/>
  <c r="AQ47" i="8" s="1"/>
  <c r="N18" i="1"/>
  <c r="J67" i="1"/>
  <c r="J59" i="1"/>
  <c r="V28" i="8" l="1"/>
  <c r="AA28" i="8" s="1"/>
  <c r="AF28" i="8" s="1"/>
  <c r="AK28" i="8" s="1"/>
  <c r="AP28" i="8" s="1"/>
  <c r="V61" i="1"/>
  <c r="V71" i="1"/>
  <c r="V50" i="1"/>
  <c r="V56" i="1"/>
  <c r="X56" i="1" s="1"/>
  <c r="X15" i="1" s="1"/>
  <c r="I93" i="1"/>
  <c r="V20" i="8"/>
  <c r="AA20" i="8" s="1"/>
  <c r="AF20" i="8" s="1"/>
  <c r="AK20" i="8" s="1"/>
  <c r="AP20" i="8" s="1"/>
  <c r="V67" i="1"/>
  <c r="V59" i="1"/>
  <c r="AR13" i="1"/>
  <c r="W36" i="8"/>
  <c r="AB36" i="8" s="1"/>
  <c r="AG36" i="8" s="1"/>
  <c r="AL36" i="8" s="1"/>
  <c r="AQ36" i="8" s="1"/>
  <c r="AE29" i="1"/>
  <c r="P8" i="4"/>
  <c r="AD29" i="1"/>
  <c r="O8" i="4"/>
  <c r="C10" i="11"/>
  <c r="C11" i="11" s="1"/>
  <c r="N56" i="1"/>
  <c r="D7" i="10"/>
  <c r="D9" i="10" s="1"/>
  <c r="N50" i="1"/>
  <c r="AP138" i="1"/>
  <c r="AC114" i="1"/>
  <c r="AD114" i="1" s="1"/>
  <c r="AB150" i="1"/>
  <c r="AC150" i="1" s="1"/>
  <c r="G18" i="10" s="1"/>
  <c r="AT53" i="1"/>
  <c r="AU53" i="1" s="1"/>
  <c r="AV53" i="1" s="1"/>
  <c r="AC29" i="1"/>
  <c r="X9" i="8"/>
  <c r="I56" i="1"/>
  <c r="I50" i="1"/>
  <c r="AJ72" i="8"/>
  <c r="AE68" i="8"/>
  <c r="AJ45" i="1" s="1"/>
  <c r="W56" i="1"/>
  <c r="W66" i="1"/>
  <c r="T25" i="8"/>
  <c r="T24" i="8" s="1"/>
  <c r="Y29" i="8"/>
  <c r="V29" i="8"/>
  <c r="AI135" i="1"/>
  <c r="AJ133" i="1"/>
  <c r="Z17" i="8"/>
  <c r="Z16" i="8" s="1"/>
  <c r="AE19" i="8"/>
  <c r="AT13" i="1"/>
  <c r="AU13" i="1" s="1"/>
  <c r="AV13" i="1" s="1"/>
  <c r="AW13" i="1"/>
  <c r="AD52" i="8"/>
  <c r="AI35" i="1" s="1"/>
  <c r="AI56" i="8"/>
  <c r="Y37" i="8"/>
  <c r="T33" i="8"/>
  <c r="T32" i="8" s="1"/>
  <c r="U37" i="8"/>
  <c r="V37" i="8" s="1"/>
  <c r="AI133" i="1"/>
  <c r="AA31" i="1"/>
  <c r="I67" i="1"/>
  <c r="I59" i="1"/>
  <c r="P61" i="1"/>
  <c r="U71" i="1"/>
  <c r="P71" i="1"/>
  <c r="S20" i="1"/>
  <c r="N20" i="1"/>
  <c r="J71" i="1"/>
  <c r="O71" i="1"/>
  <c r="J61" i="1"/>
  <c r="N21" i="1"/>
  <c r="K62" i="1"/>
  <c r="AD9" i="8"/>
  <c r="AD8" i="8" s="1"/>
  <c r="AI11" i="8"/>
  <c r="AD151" i="1"/>
  <c r="AE115" i="1"/>
  <c r="W28" i="8"/>
  <c r="AB28" i="8" s="1"/>
  <c r="AG28" i="8" s="1"/>
  <c r="AL28" i="8" s="1"/>
  <c r="AQ28" i="8" s="1"/>
  <c r="AB60" i="8"/>
  <c r="AG40" i="1" s="1"/>
  <c r="AG64" i="8"/>
  <c r="N59" i="1"/>
  <c r="N67" i="1"/>
  <c r="U29" i="8"/>
  <c r="Z34" i="1"/>
  <c r="Z36" i="1" s="1"/>
  <c r="K9" i="4"/>
  <c r="AG135" i="1"/>
  <c r="AK137" i="1"/>
  <c r="R138" i="1"/>
  <c r="R159" i="1"/>
  <c r="AA148" i="1"/>
  <c r="AB103" i="1"/>
  <c r="AF64" i="8"/>
  <c r="AA60" i="8"/>
  <c r="AF40" i="1" s="1"/>
  <c r="AA44" i="8"/>
  <c r="AF30" i="1" s="1"/>
  <c r="AF48" i="8"/>
  <c r="AA52" i="8"/>
  <c r="AF35" i="1" s="1"/>
  <c r="AF56" i="8"/>
  <c r="Z52" i="8"/>
  <c r="AE35" i="1" s="1"/>
  <c r="AE56" i="8"/>
  <c r="X101" i="1"/>
  <c r="W146" i="1"/>
  <c r="AA55" i="8"/>
  <c r="AF55" i="8" s="1"/>
  <c r="AK55" i="8" s="1"/>
  <c r="AP55" i="8" s="1"/>
  <c r="W55" i="8"/>
  <c r="AB55" i="8" s="1"/>
  <c r="AG55" i="8" s="1"/>
  <c r="AL55" i="8" s="1"/>
  <c r="AQ55" i="8" s="1"/>
  <c r="S59" i="1"/>
  <c r="S67" i="1"/>
  <c r="AG68" i="8"/>
  <c r="AL45" i="1" s="1"/>
  <c r="AL72" i="8"/>
  <c r="AJ135" i="1"/>
  <c r="T143" i="1"/>
  <c r="E10" i="10"/>
  <c r="S137" i="1"/>
  <c r="D7" i="11"/>
  <c r="AG134" i="1"/>
  <c r="X51" i="1"/>
  <c r="AB9" i="8"/>
  <c r="AG11" i="8"/>
  <c r="AE9" i="8"/>
  <c r="AE8" i="8" s="1"/>
  <c r="AJ11" i="8"/>
  <c r="AB44" i="8"/>
  <c r="AG30" i="1" s="1"/>
  <c r="AG48" i="8"/>
  <c r="AK135" i="1"/>
  <c r="AG133" i="1"/>
  <c r="AC74" i="1"/>
  <c r="AD74" i="1" s="1"/>
  <c r="AD17" i="8"/>
  <c r="AI19" i="8"/>
  <c r="W17" i="8"/>
  <c r="W16" i="8" s="1"/>
  <c r="X16" i="8" s="1"/>
  <c r="AB19" i="8"/>
  <c r="Y65" i="8"/>
  <c r="AD65" i="8" s="1"/>
  <c r="AI65" i="8" s="1"/>
  <c r="AN65" i="8" s="1"/>
  <c r="F56" i="1"/>
  <c r="F50" i="1"/>
  <c r="D10" i="11"/>
  <c r="E7" i="10"/>
  <c r="E9" i="10" s="1"/>
  <c r="S50" i="1"/>
  <c r="S56" i="1"/>
  <c r="AN48" i="8"/>
  <c r="AN44" i="8" s="1"/>
  <c r="AS30" i="1" s="1"/>
  <c r="AI44" i="8"/>
  <c r="AN30" i="1" s="1"/>
  <c r="AI134" i="1"/>
  <c r="AF29" i="1"/>
  <c r="Q8" i="4"/>
  <c r="I20" i="1"/>
  <c r="I61" i="1" s="1"/>
  <c r="E61" i="1"/>
  <c r="AO137" i="1"/>
  <c r="AK133" i="1"/>
  <c r="U65" i="8"/>
  <c r="Z65" i="8" s="1"/>
  <c r="AE65" i="8" s="1"/>
  <c r="AJ65" i="8" s="1"/>
  <c r="AO65" i="8" s="1"/>
  <c r="AK11" i="8"/>
  <c r="AF9" i="8"/>
  <c r="AF8" i="8" s="1"/>
  <c r="S154" i="1"/>
  <c r="AB29" i="1"/>
  <c r="AB8" i="8"/>
  <c r="AC8" i="8" s="1"/>
  <c r="M8" i="4"/>
  <c r="AJ134" i="1"/>
  <c r="Y57" i="8"/>
  <c r="AD57" i="8" s="1"/>
  <c r="AI57" i="8" s="1"/>
  <c r="AN57" i="8" s="1"/>
  <c r="AF68" i="8"/>
  <c r="AK45" i="1" s="1"/>
  <c r="AK72" i="8"/>
  <c r="AA34" i="1"/>
  <c r="AA36" i="1" s="1"/>
  <c r="L9" i="4"/>
  <c r="AN72" i="8"/>
  <c r="AN68" i="8" s="1"/>
  <c r="AS45" i="1" s="1"/>
  <c r="AI68" i="8"/>
  <c r="AN45" i="1" s="1"/>
  <c r="Z31" i="1"/>
  <c r="AW122" i="1"/>
  <c r="AE44" i="8"/>
  <c r="AJ30" i="1" s="1"/>
  <c r="AJ48" i="8"/>
  <c r="AO138" i="1"/>
  <c r="AD34" i="1"/>
  <c r="AD36" i="1" s="1"/>
  <c r="AD16" i="8"/>
  <c r="O9" i="4"/>
  <c r="Y31" i="1"/>
  <c r="W52" i="8"/>
  <c r="AB35" i="1" s="1"/>
  <c r="AB56" i="8"/>
  <c r="AD60" i="8"/>
  <c r="AI40" i="1" s="1"/>
  <c r="AI64" i="8"/>
  <c r="I94" i="1"/>
  <c r="K71" i="1"/>
  <c r="Z60" i="8"/>
  <c r="AE40" i="1" s="1"/>
  <c r="AE64" i="8"/>
  <c r="I21" i="1"/>
  <c r="E62" i="1"/>
  <c r="F59" i="1"/>
  <c r="F67" i="1"/>
  <c r="W21" i="8"/>
  <c r="AB21" i="8" s="1"/>
  <c r="AG21" i="8" s="1"/>
  <c r="AL21" i="8" s="1"/>
  <c r="AQ21" i="8" s="1"/>
  <c r="S21" i="1"/>
  <c r="P62" i="1"/>
  <c r="AP134" i="1"/>
  <c r="W6" i="1"/>
  <c r="W8" i="1" s="1"/>
  <c r="W69" i="1"/>
  <c r="W10" i="1"/>
  <c r="X10" i="1" s="1"/>
  <c r="W11" i="1"/>
  <c r="X5" i="1"/>
  <c r="AR53" i="1"/>
  <c r="U57" i="8"/>
  <c r="Z57" i="8" s="1"/>
  <c r="AE57" i="8" s="1"/>
  <c r="AJ57" i="8" s="1"/>
  <c r="AO57" i="8" s="1"/>
  <c r="AA17" i="8"/>
  <c r="AA16" i="8" s="1"/>
  <c r="AF19" i="8"/>
  <c r="W20" i="8" l="1"/>
  <c r="AB20" i="8" s="1"/>
  <c r="AG20" i="8" s="1"/>
  <c r="AL20" i="8" s="1"/>
  <c r="AQ20" i="8" s="1"/>
  <c r="E3" i="11"/>
  <c r="AE34" i="1"/>
  <c r="AE36" i="1" s="1"/>
  <c r="P9" i="4"/>
  <c r="AC34" i="1"/>
  <c r="X17" i="8"/>
  <c r="AJ29" i="1"/>
  <c r="U8" i="4"/>
  <c r="AK29" i="1"/>
  <c r="V8" i="4"/>
  <c r="AO48" i="8"/>
  <c r="AO44" i="8" s="1"/>
  <c r="AT30" i="1" s="1"/>
  <c r="AJ44" i="8"/>
  <c r="AO30" i="1" s="1"/>
  <c r="AB17" i="8"/>
  <c r="AG19" i="8"/>
  <c r="AO135" i="1"/>
  <c r="V25" i="8"/>
  <c r="V24" i="8" s="1"/>
  <c r="AA29" i="8"/>
  <c r="AF17" i="8"/>
  <c r="AF16" i="8" s="1"/>
  <c r="AK19" i="8"/>
  <c r="AF34" i="1"/>
  <c r="AF36" i="1" s="1"/>
  <c r="Q9" i="4"/>
  <c r="AL135" i="1"/>
  <c r="W29" i="8"/>
  <c r="AB148" i="1"/>
  <c r="AC148" i="1" s="1"/>
  <c r="G16" i="10" s="1"/>
  <c r="AC103" i="1"/>
  <c r="AD103" i="1" s="1"/>
  <c r="Y39" i="1"/>
  <c r="J10" i="4"/>
  <c r="AU138" i="1"/>
  <c r="AD31" i="1"/>
  <c r="AP135" i="1"/>
  <c r="AL64" i="8"/>
  <c r="AG60" i="8"/>
  <c r="AL40" i="1" s="1"/>
  <c r="V33" i="8"/>
  <c r="V32" i="8" s="1"/>
  <c r="AA37" i="8"/>
  <c r="AD150" i="1"/>
  <c r="AE114" i="1"/>
  <c r="X6" i="1"/>
  <c r="X65" i="1" s="1"/>
  <c r="W113" i="1"/>
  <c r="W102" i="1"/>
  <c r="AD29" i="8"/>
  <c r="Y25" i="8"/>
  <c r="Y24" i="8" s="1"/>
  <c r="AP133" i="1"/>
  <c r="AN134" i="1"/>
  <c r="AJ9" i="8"/>
  <c r="AJ8" i="8" s="1"/>
  <c r="AO11" i="8"/>
  <c r="AO9" i="8" s="1"/>
  <c r="AE151" i="1"/>
  <c r="AF115" i="1"/>
  <c r="AD37" i="8"/>
  <c r="Y33" i="8"/>
  <c r="Y32" i="8" s="1"/>
  <c r="AO133" i="1"/>
  <c r="AI29" i="1"/>
  <c r="T8" i="4"/>
  <c r="AO134" i="1"/>
  <c r="AN64" i="8"/>
  <c r="AN60" i="8" s="1"/>
  <c r="AS40" i="1" s="1"/>
  <c r="AI60" i="8"/>
  <c r="AN40" i="1" s="1"/>
  <c r="AN19" i="8"/>
  <c r="AN17" i="8" s="1"/>
  <c r="AI17" i="8"/>
  <c r="AQ72" i="8"/>
  <c r="AQ68" i="8" s="1"/>
  <c r="AV45" i="1" s="1"/>
  <c r="AL68" i="8"/>
  <c r="AQ45" i="1" s="1"/>
  <c r="U33" i="8"/>
  <c r="U32" i="8" s="1"/>
  <c r="Z37" i="8"/>
  <c r="V65" i="8"/>
  <c r="AA65" i="8" s="1"/>
  <c r="AF65" i="8" s="1"/>
  <c r="AK65" i="8" s="1"/>
  <c r="AP65" i="8" s="1"/>
  <c r="D11" i="11"/>
  <c r="AJ56" i="8"/>
  <c r="AE52" i="8"/>
  <c r="AJ35" i="1" s="1"/>
  <c r="AU134" i="1"/>
  <c r="AG56" i="8"/>
  <c r="AB52" i="8"/>
  <c r="AG35" i="1" s="1"/>
  <c r="AP72" i="8"/>
  <c r="AP68" i="8" s="1"/>
  <c r="AU45" i="1" s="1"/>
  <c r="AK68" i="8"/>
  <c r="AP45" i="1" s="1"/>
  <c r="J152" i="7"/>
  <c r="K152" i="7" s="1"/>
  <c r="X69" i="1"/>
  <c r="E6" i="11"/>
  <c r="I62" i="1"/>
  <c r="J135" i="7"/>
  <c r="F7" i="10"/>
  <c r="X66" i="1"/>
  <c r="AK9" i="8"/>
  <c r="AK8" i="8" s="1"/>
  <c r="AP11" i="8"/>
  <c r="AP9" i="8" s="1"/>
  <c r="X146" i="1"/>
  <c r="F14" i="10" s="1"/>
  <c r="AO72" i="8"/>
  <c r="AO68" i="8" s="1"/>
  <c r="AT45" i="1" s="1"/>
  <c r="AJ68" i="8"/>
  <c r="AO45" i="1" s="1"/>
  <c r="E24" i="10"/>
  <c r="AL48" i="8"/>
  <c r="AG44" i="8"/>
  <c r="AL30" i="1" s="1"/>
  <c r="AK64" i="8"/>
  <c r="AF60" i="8"/>
  <c r="AK40" i="1" s="1"/>
  <c r="AT138" i="1"/>
  <c r="AB31" i="1"/>
  <c r="AF52" i="8"/>
  <c r="AK35" i="1" s="1"/>
  <c r="AK56" i="8"/>
  <c r="W37" i="8"/>
  <c r="X11" i="1"/>
  <c r="W54" i="1"/>
  <c r="X54" i="1" s="1"/>
  <c r="AE60" i="8"/>
  <c r="AJ40" i="1" s="1"/>
  <c r="AJ64" i="8"/>
  <c r="N8" i="4"/>
  <c r="X70" i="1"/>
  <c r="AL133" i="1"/>
  <c r="AL11" i="8"/>
  <c r="AG9" i="8"/>
  <c r="AG8" i="8" s="1"/>
  <c r="AH8" i="8" s="1"/>
  <c r="U25" i="8"/>
  <c r="U24" i="8" s="1"/>
  <c r="Z29" i="8"/>
  <c r="AI9" i="8"/>
  <c r="AI8" i="8" s="1"/>
  <c r="AN11" i="8"/>
  <c r="AN9" i="8" s="1"/>
  <c r="N61" i="1"/>
  <c r="N71" i="1"/>
  <c r="AN56" i="8"/>
  <c r="AN52" i="8" s="1"/>
  <c r="AS35" i="1" s="1"/>
  <c r="AI52" i="8"/>
  <c r="AN35" i="1" s="1"/>
  <c r="W58" i="1"/>
  <c r="W59" i="1" s="1"/>
  <c r="W15" i="1"/>
  <c r="AW53" i="1"/>
  <c r="AB34" i="1"/>
  <c r="AB36" i="1" s="1"/>
  <c r="AC36" i="1" s="1"/>
  <c r="AC35" i="1" s="1"/>
  <c r="AB16" i="8"/>
  <c r="AC16" i="8" s="1"/>
  <c r="M9" i="4"/>
  <c r="N9" i="4" s="1"/>
  <c r="N62" i="1"/>
  <c r="J136" i="7"/>
  <c r="K136" i="7" s="1"/>
  <c r="AC9" i="8"/>
  <c r="AH29" i="1"/>
  <c r="AI16" i="8"/>
  <c r="AI34" i="1"/>
  <c r="AI36" i="1" s="1"/>
  <c r="T9" i="4"/>
  <c r="AL134" i="1"/>
  <c r="AE17" i="8"/>
  <c r="AE16" i="8" s="1"/>
  <c r="AJ19" i="8"/>
  <c r="AF31" i="1"/>
  <c r="Y44" i="1"/>
  <c r="Y46" i="1" s="1"/>
  <c r="J11" i="4"/>
  <c r="AG29" i="1"/>
  <c r="R8" i="4"/>
  <c r="AT137" i="1"/>
  <c r="AE74" i="1"/>
  <c r="X73" i="1"/>
  <c r="E8" i="11"/>
  <c r="S62" i="1"/>
  <c r="J137" i="7"/>
  <c r="AC31" i="1"/>
  <c r="AC30" i="1" s="1"/>
  <c r="V57" i="8"/>
  <c r="AA57" i="8" s="1"/>
  <c r="AF57" i="8" s="1"/>
  <c r="AK57" i="8" s="1"/>
  <c r="AP57" i="8" s="1"/>
  <c r="T154" i="1"/>
  <c r="S138" i="1"/>
  <c r="S159" i="1"/>
  <c r="E11" i="10"/>
  <c r="T137" i="1"/>
  <c r="T50" i="1"/>
  <c r="AF44" i="8"/>
  <c r="AK30" i="1" s="1"/>
  <c r="AK48" i="8"/>
  <c r="AP137" i="1"/>
  <c r="S61" i="1"/>
  <c r="S71" i="1"/>
  <c r="AN133" i="1"/>
  <c r="AN135" i="1"/>
  <c r="AE31" i="1"/>
  <c r="X8" i="1" l="1"/>
  <c r="K137" i="7"/>
  <c r="W57" i="8"/>
  <c r="AB57" i="8" s="1"/>
  <c r="AG57" i="8" s="1"/>
  <c r="AL57" i="8" s="1"/>
  <c r="AQ57" i="8" s="1"/>
  <c r="W65" i="8"/>
  <c r="AB65" i="8" s="1"/>
  <c r="AG65" i="8" s="1"/>
  <c r="AL65" i="8" s="1"/>
  <c r="AQ65" i="8" s="1"/>
  <c r="E4" i="11"/>
  <c r="AD39" i="1"/>
  <c r="O10" i="4"/>
  <c r="AJ34" i="1"/>
  <c r="AJ36" i="1" s="1"/>
  <c r="U9" i="4"/>
  <c r="AK34" i="1"/>
  <c r="AK36" i="1" s="1"/>
  <c r="V9" i="4"/>
  <c r="AH9" i="8"/>
  <c r="AM29" i="1"/>
  <c r="AH34" i="1"/>
  <c r="AC17" i="8"/>
  <c r="AD44" i="1"/>
  <c r="AD46" i="1" s="1"/>
  <c r="O11" i="4"/>
  <c r="AO8" i="8"/>
  <c r="Z8" i="4"/>
  <c r="AO29" i="1"/>
  <c r="W142" i="1"/>
  <c r="W123" i="1"/>
  <c r="W61" i="1"/>
  <c r="X61" i="1" s="1"/>
  <c r="W67" i="1"/>
  <c r="X59" i="1"/>
  <c r="AP8" i="8"/>
  <c r="AP29" i="1"/>
  <c r="AA8" i="4"/>
  <c r="AN8" i="8"/>
  <c r="AN29" i="1"/>
  <c r="Y8" i="4"/>
  <c r="AL9" i="8"/>
  <c r="AQ11" i="8"/>
  <c r="AQ9" i="8" s="1"/>
  <c r="AA44" i="1"/>
  <c r="AA46" i="1" s="1"/>
  <c r="L11" i="4"/>
  <c r="AD25" i="8"/>
  <c r="AD24" i="8" s="1"/>
  <c r="AI29" i="8"/>
  <c r="W70" i="1"/>
  <c r="W18" i="1"/>
  <c r="W20" i="1" s="1"/>
  <c r="W71" i="1" s="1"/>
  <c r="AT134" i="1"/>
  <c r="AA39" i="1"/>
  <c r="L10" i="4"/>
  <c r="AK31" i="1"/>
  <c r="AI31" i="1"/>
  <c r="AK17" i="8"/>
  <c r="AK16" i="8" s="1"/>
  <c r="AP19" i="8"/>
  <c r="AP17" i="8" s="1"/>
  <c r="Y137" i="1"/>
  <c r="W137" i="1"/>
  <c r="AJ17" i="8"/>
  <c r="AJ16" i="8" s="1"/>
  <c r="AO19" i="8"/>
  <c r="AO17" i="8" s="1"/>
  <c r="AG52" i="8"/>
  <c r="AL35" i="1" s="1"/>
  <c r="AL56" i="8"/>
  <c r="AU137" i="1"/>
  <c r="AG31" i="1"/>
  <c r="AP56" i="8"/>
  <c r="AP52" i="8" s="1"/>
  <c r="AU35" i="1" s="1"/>
  <c r="AK52" i="8"/>
  <c r="AP35" i="1" s="1"/>
  <c r="Z44" i="1"/>
  <c r="Z46" i="1" s="1"/>
  <c r="K11" i="4"/>
  <c r="AI37" i="8"/>
  <c r="AD33" i="8"/>
  <c r="AD32" i="8" s="1"/>
  <c r="X102" i="1"/>
  <c r="W147" i="1"/>
  <c r="AQ64" i="8"/>
  <c r="AQ60" i="8" s="1"/>
  <c r="AV40" i="1" s="1"/>
  <c r="AL60" i="8"/>
  <c r="AQ40" i="1" s="1"/>
  <c r="AQ135" i="1"/>
  <c r="AT135" i="1"/>
  <c r="AQ133" i="1"/>
  <c r="AT133" i="1"/>
  <c r="AA33" i="8"/>
  <c r="AA32" i="8" s="1"/>
  <c r="AF37" i="8"/>
  <c r="AN16" i="8"/>
  <c r="AN34" i="1"/>
  <c r="AN36" i="1" s="1"/>
  <c r="Y9" i="4"/>
  <c r="Z33" i="8"/>
  <c r="Z32" i="8" s="1"/>
  <c r="AE37" i="8"/>
  <c r="W17" i="1"/>
  <c r="X58" i="1"/>
  <c r="AE29" i="8"/>
  <c r="Z25" i="8"/>
  <c r="Z24" i="8" s="1"/>
  <c r="AP64" i="8"/>
  <c r="AP60" i="8" s="1"/>
  <c r="AU40" i="1" s="1"/>
  <c r="AK60" i="8"/>
  <c r="AP40" i="1" s="1"/>
  <c r="AF151" i="1"/>
  <c r="AG115" i="1"/>
  <c r="W149" i="1"/>
  <c r="X149" i="1" s="1"/>
  <c r="F17" i="10" s="1"/>
  <c r="X113" i="1"/>
  <c r="W116" i="1"/>
  <c r="J13" i="4"/>
  <c r="AE103" i="1"/>
  <c r="AD148" i="1"/>
  <c r="AB29" i="8"/>
  <c r="W25" i="8"/>
  <c r="W24" i="8" s="1"/>
  <c r="S8" i="4"/>
  <c r="AS134" i="1"/>
  <c r="T138" i="1"/>
  <c r="T159" i="1"/>
  <c r="Z39" i="1"/>
  <c r="K10" i="4"/>
  <c r="K13" i="4" s="1"/>
  <c r="AU133" i="1"/>
  <c r="AU135" i="1"/>
  <c r="AL19" i="8"/>
  <c r="AG17" i="8"/>
  <c r="AG16" i="8" s="1"/>
  <c r="AJ31" i="1"/>
  <c r="AS133" i="1"/>
  <c r="AG34" i="1"/>
  <c r="AG36" i="1" s="1"/>
  <c r="AH36" i="1" s="1"/>
  <c r="AH35" i="1" s="1"/>
  <c r="R9" i="4"/>
  <c r="S9" i="4" s="1"/>
  <c r="AF29" i="8"/>
  <c r="AA25" i="8"/>
  <c r="AA24" i="8" s="1"/>
  <c r="AL29" i="1"/>
  <c r="AL8" i="8"/>
  <c r="W8" i="4"/>
  <c r="X8" i="4" s="1"/>
  <c r="W33" i="8"/>
  <c r="W32" i="8" s="1"/>
  <c r="AB37" i="8"/>
  <c r="AS135" i="1"/>
  <c r="AP48" i="8"/>
  <c r="AP44" i="8" s="1"/>
  <c r="AU30" i="1" s="1"/>
  <c r="AK44" i="8"/>
  <c r="AP30" i="1" s="1"/>
  <c r="AQ134" i="1"/>
  <c r="AF74" i="1"/>
  <c r="AO64" i="8"/>
  <c r="AO60" i="8" s="1"/>
  <c r="AT40" i="1" s="1"/>
  <c r="AJ60" i="8"/>
  <c r="AO40" i="1" s="1"/>
  <c r="AQ48" i="8"/>
  <c r="AQ44" i="8" s="1"/>
  <c r="AV30" i="1" s="1"/>
  <c r="AL44" i="8"/>
  <c r="AQ30" i="1" s="1"/>
  <c r="AO56" i="8"/>
  <c r="AO52" i="8" s="1"/>
  <c r="AT35" i="1" s="1"/>
  <c r="AJ52" i="8"/>
  <c r="AO35" i="1" s="1"/>
  <c r="AE150" i="1"/>
  <c r="AF114" i="1"/>
  <c r="Y41" i="1"/>
  <c r="Y49" i="1"/>
  <c r="AI39" i="1" l="1"/>
  <c r="T10" i="4"/>
  <c r="AE44" i="1"/>
  <c r="AE46" i="1" s="1"/>
  <c r="P11" i="4"/>
  <c r="AI44" i="1"/>
  <c r="AI46" i="1" s="1"/>
  <c r="T11" i="4"/>
  <c r="AO16" i="8"/>
  <c r="Z9" i="4"/>
  <c r="AO34" i="1"/>
  <c r="AO36" i="1" s="1"/>
  <c r="AE39" i="1"/>
  <c r="P10" i="4"/>
  <c r="P13" i="4" s="1"/>
  <c r="AF39" i="1"/>
  <c r="Q10" i="4"/>
  <c r="AF44" i="1"/>
  <c r="AF46" i="1" s="1"/>
  <c r="Q11" i="4"/>
  <c r="AP16" i="8"/>
  <c r="AA9" i="4"/>
  <c r="AP34" i="1"/>
  <c r="AP36" i="1" s="1"/>
  <c r="X64" i="1"/>
  <c r="X17" i="1"/>
  <c r="AB33" i="8"/>
  <c r="AB32" i="8" s="1"/>
  <c r="AG37" i="8"/>
  <c r="AG151" i="1"/>
  <c r="AH115" i="1"/>
  <c r="AI115" i="1" s="1"/>
  <c r="AF33" i="8"/>
  <c r="AF32" i="8" s="1"/>
  <c r="AK37" i="8"/>
  <c r="AN37" i="8"/>
  <c r="AN33" i="8" s="1"/>
  <c r="AI33" i="8"/>
  <c r="AI32" i="8" s="1"/>
  <c r="AP31" i="1"/>
  <c r="AO31" i="1"/>
  <c r="AB44" i="1"/>
  <c r="AB46" i="1" s="1"/>
  <c r="AC46" i="1" s="1"/>
  <c r="M11" i="4"/>
  <c r="N11" i="4" s="1"/>
  <c r="AE148" i="1"/>
  <c r="AF103" i="1"/>
  <c r="AH151" i="1"/>
  <c r="H19" i="10" s="1"/>
  <c r="AE33" i="8"/>
  <c r="AE32" i="8" s="1"/>
  <c r="AJ37" i="8"/>
  <c r="AV135" i="1"/>
  <c r="AI25" i="8"/>
  <c r="AI24" i="8" s="1"/>
  <c r="AN29" i="8"/>
  <c r="AN25" i="8" s="1"/>
  <c r="AU29" i="1"/>
  <c r="AF8" i="4"/>
  <c r="W138" i="1"/>
  <c r="Y138" i="1"/>
  <c r="Y5" i="1"/>
  <c r="AV134" i="1"/>
  <c r="Y51" i="1"/>
  <c r="AL17" i="8"/>
  <c r="AL16" i="8" s="1"/>
  <c r="AQ19" i="8"/>
  <c r="AQ17" i="8" s="1"/>
  <c r="W143" i="1"/>
  <c r="W152" i="1" s="1"/>
  <c r="AB137" i="1"/>
  <c r="L13" i="4"/>
  <c r="X142" i="1"/>
  <c r="X67" i="1"/>
  <c r="AT29" i="1"/>
  <c r="AE8" i="4"/>
  <c r="AG114" i="1"/>
  <c r="AF150" i="1"/>
  <c r="AQ8" i="8"/>
  <c r="AQ29" i="1"/>
  <c r="AB8" i="4"/>
  <c r="AL34" i="1"/>
  <c r="AL36" i="1" s="1"/>
  <c r="AM36" i="1" s="1"/>
  <c r="W9" i="4"/>
  <c r="X9" i="4" s="1"/>
  <c r="Z41" i="1"/>
  <c r="Z51" i="1" s="1"/>
  <c r="Z49" i="1"/>
  <c r="Z5" i="1" s="1"/>
  <c r="AD137" i="1"/>
  <c r="AM8" i="8"/>
  <c r="O13" i="4"/>
  <c r="AL31" i="1"/>
  <c r="AM31" i="1" s="1"/>
  <c r="AM30" i="1" s="1"/>
  <c r="X32" i="8"/>
  <c r="AB39" i="1"/>
  <c r="AB24" i="8"/>
  <c r="M10" i="4"/>
  <c r="M13" i="4" s="1"/>
  <c r="AV133" i="1"/>
  <c r="AQ56" i="8"/>
  <c r="AQ52" i="8" s="1"/>
  <c r="AV35" i="1" s="1"/>
  <c r="AL52" i="8"/>
  <c r="AQ35" i="1" s="1"/>
  <c r="AA41" i="1"/>
  <c r="AA51" i="1" s="1"/>
  <c r="AA49" i="1"/>
  <c r="AA5" i="1" s="1"/>
  <c r="AD41" i="1"/>
  <c r="AD49" i="1"/>
  <c r="AS34" i="1"/>
  <c r="AS36" i="1" s="1"/>
  <c r="AD9" i="4"/>
  <c r="X116" i="1"/>
  <c r="X147" i="1"/>
  <c r="F15" i="10" s="1"/>
  <c r="F13" i="10" s="1"/>
  <c r="W145" i="1"/>
  <c r="X145" i="1" s="1"/>
  <c r="AN31" i="1"/>
  <c r="W125" i="1"/>
  <c r="X125" i="1" s="1"/>
  <c r="X123" i="1"/>
  <c r="AB25" i="8"/>
  <c r="AG29" i="8"/>
  <c r="AG74" i="1"/>
  <c r="AF25" i="8"/>
  <c r="AF24" i="8" s="1"/>
  <c r="AK29" i="8"/>
  <c r="AE25" i="8"/>
  <c r="AE24" i="8" s="1"/>
  <c r="AJ29" i="8"/>
  <c r="AH31" i="1"/>
  <c r="AH30" i="1" s="1"/>
  <c r="AS29" i="1"/>
  <c r="AD8" i="4"/>
  <c r="AR8" i="8"/>
  <c r="AH16" i="8"/>
  <c r="X24" i="8"/>
  <c r="N10" i="4" l="1"/>
  <c r="N13" i="4" s="1"/>
  <c r="AJ44" i="1"/>
  <c r="AJ46" i="1" s="1"/>
  <c r="U11" i="4"/>
  <c r="AK39" i="1"/>
  <c r="AK24" i="8"/>
  <c r="V10" i="4"/>
  <c r="AN32" i="8"/>
  <c r="AN44" i="1"/>
  <c r="AN46" i="1" s="1"/>
  <c r="Y11" i="4"/>
  <c r="AQ16" i="8"/>
  <c r="AQ34" i="1"/>
  <c r="AQ36" i="1" s="1"/>
  <c r="AR36" i="1" s="1"/>
  <c r="AB9" i="4"/>
  <c r="AC9" i="4" s="1"/>
  <c r="AM16" i="8"/>
  <c r="AK44" i="1"/>
  <c r="AK46" i="1" s="1"/>
  <c r="V11" i="4"/>
  <c r="AA6" i="1"/>
  <c r="AA10" i="1"/>
  <c r="AA69" i="1"/>
  <c r="AA154" i="1"/>
  <c r="AA159" i="1" s="1"/>
  <c r="AA101" i="1"/>
  <c r="AA11" i="1"/>
  <c r="AA143" i="1"/>
  <c r="AA50" i="1" s="1"/>
  <c r="AT31" i="1"/>
  <c r="AR29" i="1"/>
  <c r="AM9" i="8"/>
  <c r="Y6" i="1"/>
  <c r="Y10" i="1"/>
  <c r="Y69" i="1"/>
  <c r="Y8" i="1"/>
  <c r="Y11" i="1"/>
  <c r="Y101" i="1"/>
  <c r="Y146" i="1" s="1"/>
  <c r="AA56" i="1"/>
  <c r="AA66" i="1"/>
  <c r="AD138" i="1"/>
  <c r="Y154" i="1"/>
  <c r="AH74" i="1"/>
  <c r="AI74" i="1" s="1"/>
  <c r="AD5" i="1"/>
  <c r="AQ31" i="1"/>
  <c r="AR31" i="1" s="1"/>
  <c r="AR30" i="1" s="1"/>
  <c r="Y56" i="1"/>
  <c r="Y66" i="1"/>
  <c r="F8" i="10"/>
  <c r="F9" i="10" s="1"/>
  <c r="X18" i="1"/>
  <c r="X20" i="1" s="1"/>
  <c r="AU34" i="1"/>
  <c r="AU36" i="1" s="1"/>
  <c r="AF9" i="4"/>
  <c r="AL37" i="8"/>
  <c r="AG33" i="8"/>
  <c r="AG32" i="8" s="1"/>
  <c r="Y143" i="1"/>
  <c r="Y50" i="1" s="1"/>
  <c r="AJ33" i="8"/>
  <c r="AJ32" i="8" s="1"/>
  <c r="AO37" i="8"/>
  <c r="AO33" i="8" s="1"/>
  <c r="AE41" i="1"/>
  <c r="AE51" i="1" s="1"/>
  <c r="AE49" i="1"/>
  <c r="AE5" i="1" s="1"/>
  <c r="AS31" i="1"/>
  <c r="AG25" i="8"/>
  <c r="AL29" i="8"/>
  <c r="AD51" i="1"/>
  <c r="AV29" i="1"/>
  <c r="AG8" i="4"/>
  <c r="AH8" i="4" s="1"/>
  <c r="AG137" i="1"/>
  <c r="AK33" i="8"/>
  <c r="AK32" i="8" s="1"/>
  <c r="AP37" i="8"/>
  <c r="AP33" i="8" s="1"/>
  <c r="Q13" i="4"/>
  <c r="X33" i="8"/>
  <c r="AC44" i="1"/>
  <c r="AC45" i="1" s="1"/>
  <c r="W154" i="1"/>
  <c r="AB138" i="1"/>
  <c r="Z6" i="1"/>
  <c r="Z8" i="1" s="1"/>
  <c r="Z69" i="1"/>
  <c r="Z10" i="1"/>
  <c r="Z143" i="1"/>
  <c r="Z11" i="1"/>
  <c r="Z154" i="1"/>
  <c r="Z159" i="1" s="1"/>
  <c r="Z101" i="1"/>
  <c r="Z146" i="1" s="1"/>
  <c r="W50" i="1"/>
  <c r="X137" i="1"/>
  <c r="X143" i="1" s="1"/>
  <c r="AU31" i="1"/>
  <c r="AG103" i="1"/>
  <c r="AF148" i="1"/>
  <c r="T13" i="4"/>
  <c r="AG39" i="1"/>
  <c r="AG24" i="8"/>
  <c r="R10" i="4"/>
  <c r="AG44" i="1"/>
  <c r="AG46" i="1" s="1"/>
  <c r="AH46" i="1" s="1"/>
  <c r="R11" i="4"/>
  <c r="S11" i="4" s="1"/>
  <c r="X152" i="1"/>
  <c r="AD143" i="1"/>
  <c r="AI137" i="1"/>
  <c r="AJ25" i="8"/>
  <c r="AJ24" i="8" s="1"/>
  <c r="AO29" i="8"/>
  <c r="AO25" i="8" s="1"/>
  <c r="Z56" i="1"/>
  <c r="Z50" i="1"/>
  <c r="Z66" i="1"/>
  <c r="AG150" i="1"/>
  <c r="AH150" i="1" s="1"/>
  <c r="H18" i="10" s="1"/>
  <c r="AH114" i="1"/>
  <c r="AI114" i="1" s="1"/>
  <c r="AI151" i="1"/>
  <c r="AJ115" i="1"/>
  <c r="AF41" i="1"/>
  <c r="AF51" i="1" s="1"/>
  <c r="AF49" i="1"/>
  <c r="AF5" i="1" s="1"/>
  <c r="AT34" i="1"/>
  <c r="AT36" i="1" s="1"/>
  <c r="AE9" i="4"/>
  <c r="AN39" i="1"/>
  <c r="AN24" i="8"/>
  <c r="Y10" i="4"/>
  <c r="AC32" i="8"/>
  <c r="AB41" i="1"/>
  <c r="AB51" i="1" s="1"/>
  <c r="AB49" i="1"/>
  <c r="AB5" i="1" s="1"/>
  <c r="AB143" i="1" s="1"/>
  <c r="AJ39" i="1"/>
  <c r="U10" i="4"/>
  <c r="U13" i="4" s="1"/>
  <c r="AR9" i="8"/>
  <c r="AW29" i="1"/>
  <c r="AC39" i="1"/>
  <c r="X25" i="8"/>
  <c r="AM34" i="1"/>
  <c r="AM35" i="1" s="1"/>
  <c r="AH17" i="8"/>
  <c r="AK25" i="8"/>
  <c r="AP29" i="8"/>
  <c r="AP25" i="8" s="1"/>
  <c r="W127" i="1"/>
  <c r="AC8" i="4"/>
  <c r="S10" i="4"/>
  <c r="AC49" i="1"/>
  <c r="AC24" i="8"/>
  <c r="AI41" i="1"/>
  <c r="AI49" i="1"/>
  <c r="AL44" i="1" l="1"/>
  <c r="AL46" i="1" s="1"/>
  <c r="W11" i="4"/>
  <c r="X11" i="4" s="1"/>
  <c r="AH32" i="8"/>
  <c r="AP32" i="8"/>
  <c r="AA11" i="4"/>
  <c r="AP44" i="1"/>
  <c r="AP46" i="1" s="1"/>
  <c r="AM46" i="1"/>
  <c r="AS39" i="1"/>
  <c r="AD10" i="4"/>
  <c r="AL39" i="1"/>
  <c r="W10" i="4"/>
  <c r="J138" i="7"/>
  <c r="K138" i="7" s="1"/>
  <c r="X71" i="1"/>
  <c r="AP24" i="8"/>
  <c r="AA10" i="4"/>
  <c r="AA13" i="4" s="1"/>
  <c r="AP39" i="1"/>
  <c r="AJ41" i="1"/>
  <c r="AJ51" i="1" s="1"/>
  <c r="AJ49" i="1"/>
  <c r="AJ5" i="1" s="1"/>
  <c r="AI150" i="1"/>
  <c r="AJ114" i="1"/>
  <c r="AG41" i="1"/>
  <c r="AG51" i="1" s="1"/>
  <c r="AG49" i="1"/>
  <c r="AG5" i="1" s="1"/>
  <c r="AG143" i="1" s="1"/>
  <c r="Y159" i="1"/>
  <c r="AV34" i="1"/>
  <c r="AV36" i="1" s="1"/>
  <c r="AW36" i="1" s="1"/>
  <c r="AG9" i="4"/>
  <c r="AH9" i="4" s="1"/>
  <c r="AR16" i="8"/>
  <c r="AK41" i="1"/>
  <c r="AK51" i="1" s="1"/>
  <c r="AK49" i="1"/>
  <c r="AK5" i="1" s="1"/>
  <c r="AN137" i="1"/>
  <c r="AQ29" i="8"/>
  <c r="AQ25" i="8" s="1"/>
  <c r="AL25" i="8"/>
  <c r="AL24" i="8" s="1"/>
  <c r="AM24" i="8" s="1"/>
  <c r="AB6" i="1"/>
  <c r="AB8" i="1" s="1"/>
  <c r="AB69" i="1"/>
  <c r="AB10" i="1"/>
  <c r="AC10" i="1" s="1"/>
  <c r="AB101" i="1"/>
  <c r="AB11" i="1"/>
  <c r="AC11" i="1" s="1"/>
  <c r="F10" i="10"/>
  <c r="X50" i="1"/>
  <c r="AL33" i="8"/>
  <c r="AL32" i="8" s="1"/>
  <c r="AQ37" i="8"/>
  <c r="AQ33" i="8" s="1"/>
  <c r="AD6" i="1"/>
  <c r="AD69" i="1"/>
  <c r="AD10" i="1"/>
  <c r="AD101" i="1"/>
  <c r="AD11" i="1"/>
  <c r="AD154" i="1"/>
  <c r="AI138" i="1"/>
  <c r="AO24" i="8"/>
  <c r="Z10" i="4"/>
  <c r="AO39" i="1"/>
  <c r="AL137" i="1"/>
  <c r="AA102" i="1"/>
  <c r="AA113" i="1"/>
  <c r="AN41" i="1"/>
  <c r="AN49" i="1"/>
  <c r="S13" i="4"/>
  <c r="AB56" i="1"/>
  <c r="AB66" i="1"/>
  <c r="AC66" i="1" s="1"/>
  <c r="AB50" i="1"/>
  <c r="X10" i="4"/>
  <c r="D35" i="10"/>
  <c r="N5" i="10" s="1"/>
  <c r="N6" i="10" s="1"/>
  <c r="Z102" i="1"/>
  <c r="Z113" i="1"/>
  <c r="AV31" i="1"/>
  <c r="AW31" i="1"/>
  <c r="AW30" i="1" s="1"/>
  <c r="AC5" i="1"/>
  <c r="AA146" i="1"/>
  <c r="X127" i="1"/>
  <c r="AH44" i="1"/>
  <c r="AH45" i="1" s="1"/>
  <c r="AC33" i="8"/>
  <c r="AF6" i="1"/>
  <c r="AF8" i="1" s="1"/>
  <c r="AF10" i="1"/>
  <c r="AF69" i="1"/>
  <c r="AF154" i="1"/>
  <c r="AF159" i="1" s="1"/>
  <c r="AF101" i="1"/>
  <c r="AF143" i="1"/>
  <c r="AF11" i="1"/>
  <c r="AE6" i="1"/>
  <c r="AE69" i="1"/>
  <c r="AE10" i="1"/>
  <c r="AE143" i="1"/>
  <c r="AE50" i="1" s="1"/>
  <c r="AE154" i="1"/>
  <c r="AE159" i="1" s="1"/>
  <c r="AE101" i="1"/>
  <c r="AE146" i="1" s="1"/>
  <c r="AE11" i="1"/>
  <c r="AC51" i="1"/>
  <c r="AJ74" i="1"/>
  <c r="AC6" i="1"/>
  <c r="Y113" i="1"/>
  <c r="Y102" i="1"/>
  <c r="Y147" i="1" s="1"/>
  <c r="AO32" i="8"/>
  <c r="Z11" i="4"/>
  <c r="AO44" i="1"/>
  <c r="AO46" i="1" s="1"/>
  <c r="AB154" i="1"/>
  <c r="AB159" i="1" s="1"/>
  <c r="AG138" i="1"/>
  <c r="AE56" i="1"/>
  <c r="AE66" i="1"/>
  <c r="AA58" i="1"/>
  <c r="AA17" i="1" s="1"/>
  <c r="AA15" i="1"/>
  <c r="AA8" i="1"/>
  <c r="AI51" i="1"/>
  <c r="AJ151" i="1"/>
  <c r="AK115" i="1"/>
  <c r="AH103" i="1"/>
  <c r="AI103" i="1" s="1"/>
  <c r="AG148" i="1"/>
  <c r="AH148" i="1" s="1"/>
  <c r="H16" i="10" s="1"/>
  <c r="W159" i="1"/>
  <c r="W106" i="1"/>
  <c r="X106" i="1" s="1"/>
  <c r="Y106" i="1" s="1"/>
  <c r="Z106" i="1" s="1"/>
  <c r="AA106" i="1" s="1"/>
  <c r="X138" i="1"/>
  <c r="X154" i="1"/>
  <c r="F11" i="10" s="1"/>
  <c r="F24" i="10" s="1"/>
  <c r="F25" i="10" s="1"/>
  <c r="AD56" i="1"/>
  <c r="AD66" i="1"/>
  <c r="AD50" i="1"/>
  <c r="AH51" i="1"/>
  <c r="Y58" i="1"/>
  <c r="Y59" i="1" s="1"/>
  <c r="AC56" i="1"/>
  <c r="AC15" i="1" s="1"/>
  <c r="Y15" i="1"/>
  <c r="AM17" i="8"/>
  <c r="AR34" i="1"/>
  <c r="AR35" i="1" s="1"/>
  <c r="AS44" i="1"/>
  <c r="AS46" i="1" s="1"/>
  <c r="AD11" i="4"/>
  <c r="AH24" i="8"/>
  <c r="AI5" i="1"/>
  <c r="AI11" i="1" s="1"/>
  <c r="AF56" i="1"/>
  <c r="AF66" i="1"/>
  <c r="AF50" i="1"/>
  <c r="Z58" i="1"/>
  <c r="Z17" i="1" s="1"/>
  <c r="Z15" i="1"/>
  <c r="AH39" i="1"/>
  <c r="AC25" i="8"/>
  <c r="Y13" i="4"/>
  <c r="R13" i="4"/>
  <c r="AC41" i="1"/>
  <c r="AC40" i="1" s="1"/>
  <c r="V13" i="4"/>
  <c r="AF146" i="1" l="1"/>
  <c r="AA147" i="1"/>
  <c r="AC159" i="1"/>
  <c r="AI143" i="1"/>
  <c r="Z59" i="1"/>
  <c r="AC73" i="1"/>
  <c r="AB106" i="1"/>
  <c r="AC106" i="1" s="1"/>
  <c r="AD106" i="1" s="1"/>
  <c r="AE106" i="1" s="1"/>
  <c r="AF106" i="1" s="1"/>
  <c r="AG106" i="1" s="1"/>
  <c r="AH106" i="1" s="1"/>
  <c r="AC154" i="1"/>
  <c r="G11" i="10" s="1"/>
  <c r="AQ44" i="1"/>
  <c r="AQ46" i="1" s="1"/>
  <c r="AR46" i="1" s="1"/>
  <c r="AQ32" i="8"/>
  <c r="AB11" i="4"/>
  <c r="AC11" i="4" s="1"/>
  <c r="AM32" i="8"/>
  <c r="Z18" i="1"/>
  <c r="Z20" i="1" s="1"/>
  <c r="Z71" i="1" s="1"/>
  <c r="Z70" i="1"/>
  <c r="G7" i="10"/>
  <c r="AI154" i="1"/>
  <c r="AN138" i="1"/>
  <c r="AC70" i="1"/>
  <c r="AB146" i="1"/>
  <c r="AC101" i="1"/>
  <c r="AD146" i="1" s="1"/>
  <c r="AS137" i="1"/>
  <c r="AJ56" i="1"/>
  <c r="AJ50" i="1"/>
  <c r="AJ66" i="1"/>
  <c r="AL41" i="1"/>
  <c r="AL51" i="1" s="1"/>
  <c r="AL49" i="1"/>
  <c r="AL5" i="1" s="1"/>
  <c r="AM25" i="8"/>
  <c r="AR39" i="1"/>
  <c r="AQ24" i="8"/>
  <c r="AQ39" i="1"/>
  <c r="AB10" i="4"/>
  <c r="Z142" i="1"/>
  <c r="Z152" i="1" s="1"/>
  <c r="Z168" i="1" s="1"/>
  <c r="Z67" i="1"/>
  <c r="Z61" i="1"/>
  <c r="AF102" i="1"/>
  <c r="AF113" i="1"/>
  <c r="AM41" i="1"/>
  <c r="AB58" i="1"/>
  <c r="AB17" i="1" s="1"/>
  <c r="AB15" i="1"/>
  <c r="AH49" i="1"/>
  <c r="AP41" i="1"/>
  <c r="AP51" i="1" s="1"/>
  <c r="AP49" i="1"/>
  <c r="AP5" i="1" s="1"/>
  <c r="AH33" i="8"/>
  <c r="AM44" i="1"/>
  <c r="AM45" i="1" s="1"/>
  <c r="AJ6" i="1"/>
  <c r="AJ8" i="1" s="1"/>
  <c r="AJ69" i="1"/>
  <c r="AJ10" i="1"/>
  <c r="AJ154" i="1"/>
  <c r="AJ159" i="1" s="1"/>
  <c r="AJ143" i="1"/>
  <c r="AJ101" i="1"/>
  <c r="AI56" i="1"/>
  <c r="AI66" i="1"/>
  <c r="AM51" i="1"/>
  <c r="AI50" i="1"/>
  <c r="AK6" i="1"/>
  <c r="AK69" i="1"/>
  <c r="AK10" i="1"/>
  <c r="AK154" i="1"/>
  <c r="AK159" i="1" s="1"/>
  <c r="AK101" i="1"/>
  <c r="AK143" i="1"/>
  <c r="AK50" i="1" s="1"/>
  <c r="AD13" i="4"/>
  <c r="AD113" i="1"/>
  <c r="AD102" i="1"/>
  <c r="AL143" i="1"/>
  <c r="AQ137" i="1"/>
  <c r="X159" i="1"/>
  <c r="W168" i="1"/>
  <c r="Z149" i="1"/>
  <c r="Z116" i="1"/>
  <c r="AO41" i="1"/>
  <c r="AO51" i="1" s="1"/>
  <c r="AO49" i="1"/>
  <c r="AO5" i="1" s="1"/>
  <c r="AD8" i="1"/>
  <c r="AK56" i="1"/>
  <c r="AK66" i="1"/>
  <c r="AG6" i="1"/>
  <c r="AH6" i="1" s="1"/>
  <c r="AG10" i="1"/>
  <c r="AG69" i="1"/>
  <c r="AG101" i="1"/>
  <c r="AG11" i="1"/>
  <c r="AH11" i="1" s="1"/>
  <c r="AU39" i="1"/>
  <c r="AF10" i="4"/>
  <c r="AS41" i="1"/>
  <c r="AS49" i="1"/>
  <c r="AT44" i="1"/>
  <c r="AT46" i="1" s="1"/>
  <c r="AE11" i="4"/>
  <c r="AR32" i="8"/>
  <c r="Y142" i="1"/>
  <c r="Y61" i="1"/>
  <c r="Y67" i="1"/>
  <c r="Y123" i="1"/>
  <c r="AF58" i="1"/>
  <c r="AF17" i="1" s="1"/>
  <c r="AF15" i="1"/>
  <c r="AA18" i="1"/>
  <c r="AA20" i="1" s="1"/>
  <c r="AA71" i="1" s="1"/>
  <c r="AA70" i="1"/>
  <c r="AN5" i="1"/>
  <c r="E7" i="11"/>
  <c r="AB113" i="1"/>
  <c r="AB102" i="1"/>
  <c r="AR17" i="8"/>
  <c r="AW34" i="1"/>
  <c r="AG56" i="1"/>
  <c r="AG50" i="1"/>
  <c r="AG66" i="1"/>
  <c r="AH25" i="8"/>
  <c r="AM39" i="1"/>
  <c r="AE102" i="1"/>
  <c r="AE113" i="1"/>
  <c r="AD159" i="1"/>
  <c r="AG154" i="1"/>
  <c r="AG159" i="1" s="1"/>
  <c r="AL138" i="1"/>
  <c r="AJ103" i="1"/>
  <c r="AI148" i="1"/>
  <c r="Z147" i="1"/>
  <c r="Z145" i="1" s="1"/>
  <c r="AH10" i="1"/>
  <c r="AH73" i="1" s="1"/>
  <c r="AL115" i="1"/>
  <c r="AK151" i="1"/>
  <c r="AN51" i="1"/>
  <c r="AT39" i="1"/>
  <c r="AE10" i="4"/>
  <c r="AJ150" i="1"/>
  <c r="AK114" i="1"/>
  <c r="Y70" i="1"/>
  <c r="AU44" i="1"/>
  <c r="AU46" i="1" s="1"/>
  <c r="AF11" i="4"/>
  <c r="Y17" i="1"/>
  <c r="Y18" i="1" s="1"/>
  <c r="Y20" i="1" s="1"/>
  <c r="Y71" i="1" s="1"/>
  <c r="AE58" i="1"/>
  <c r="AE17" i="1" s="1"/>
  <c r="AE15" i="1"/>
  <c r="H7" i="10"/>
  <c r="AH66" i="1"/>
  <c r="Y149" i="1"/>
  <c r="Y145" i="1" s="1"/>
  <c r="Y116" i="1"/>
  <c r="AE8" i="1"/>
  <c r="Z13" i="4"/>
  <c r="AH41" i="1"/>
  <c r="AH40" i="1" s="1"/>
  <c r="AI6" i="1"/>
  <c r="AI69" i="1"/>
  <c r="AI10" i="1"/>
  <c r="AM5" i="1"/>
  <c r="AI101" i="1"/>
  <c r="AD58" i="1"/>
  <c r="AD59" i="1" s="1"/>
  <c r="AD15" i="1"/>
  <c r="AA59" i="1"/>
  <c r="AK74" i="1"/>
  <c r="AJ11" i="1"/>
  <c r="J153" i="7"/>
  <c r="K153" i="7" s="1"/>
  <c r="AC69" i="1"/>
  <c r="AC8" i="1"/>
  <c r="AC137" i="1"/>
  <c r="AC143" i="1" s="1"/>
  <c r="G10" i="10" s="1"/>
  <c r="AC138" i="1"/>
  <c r="X13" i="4"/>
  <c r="AA149" i="1"/>
  <c r="AA145" i="1" s="1"/>
  <c r="AA116" i="1"/>
  <c r="AH5" i="1"/>
  <c r="AW35" i="1"/>
  <c r="W13" i="4"/>
  <c r="AM40" i="1" l="1"/>
  <c r="AE59" i="1"/>
  <c r="AJ146" i="1"/>
  <c r="AF147" i="1"/>
  <c r="AH154" i="1"/>
  <c r="H11" i="10" s="1"/>
  <c r="AH159" i="1"/>
  <c r="AS5" i="1"/>
  <c r="AD142" i="1"/>
  <c r="AD61" i="1"/>
  <c r="AD67" i="1"/>
  <c r="AD70" i="1"/>
  <c r="Z123" i="1"/>
  <c r="Y125" i="1"/>
  <c r="Y127" i="1" s="1"/>
  <c r="AI58" i="1"/>
  <c r="AI59" i="1" s="1"/>
  <c r="AI15" i="1"/>
  <c r="AN69" i="1"/>
  <c r="AN6" i="1"/>
  <c r="AN8" i="1" s="1"/>
  <c r="AN10" i="1"/>
  <c r="AN101" i="1"/>
  <c r="AG58" i="1"/>
  <c r="AG17" i="1" s="1"/>
  <c r="AG15" i="1"/>
  <c r="W171" i="1"/>
  <c r="W100" i="1" s="1"/>
  <c r="X168" i="1"/>
  <c r="X171" i="1" s="1"/>
  <c r="AI159" i="1"/>
  <c r="J154" i="7"/>
  <c r="K154" i="7" s="1"/>
  <c r="AH8" i="1"/>
  <c r="AH69" i="1"/>
  <c r="AH138" i="1"/>
  <c r="AH137" i="1"/>
  <c r="AH143" i="1" s="1"/>
  <c r="AP66" i="1"/>
  <c r="AP56" i="1"/>
  <c r="AI106" i="1"/>
  <c r="AJ106" i="1" s="1"/>
  <c r="AK106" i="1" s="1"/>
  <c r="AV39" i="1"/>
  <c r="AG10" i="4"/>
  <c r="AR24" i="8"/>
  <c r="AN143" i="1"/>
  <c r="AN50" i="1" s="1"/>
  <c r="AE70" i="1"/>
  <c r="AE18" i="1"/>
  <c r="AE20" i="1" s="1"/>
  <c r="AE71" i="1" s="1"/>
  <c r="AE147" i="1"/>
  <c r="AF70" i="1"/>
  <c r="AF18" i="1"/>
  <c r="AF20" i="1" s="1"/>
  <c r="AF71" i="1" s="1"/>
  <c r="Y152" i="1"/>
  <c r="AK58" i="1"/>
  <c r="AK17" i="1" s="1"/>
  <c r="AK15" i="1"/>
  <c r="AV137" i="1"/>
  <c r="AK146" i="1"/>
  <c r="AF149" i="1"/>
  <c r="AF116" i="1"/>
  <c r="AC50" i="1"/>
  <c r="AR44" i="1"/>
  <c r="AR45" i="1" s="1"/>
  <c r="AM33" i="8"/>
  <c r="AT41" i="1"/>
  <c r="AT51" i="1" s="1"/>
  <c r="AT49" i="1"/>
  <c r="AT5" i="1" s="1"/>
  <c r="AN56" i="1"/>
  <c r="AN66" i="1"/>
  <c r="AS51" i="1"/>
  <c r="AK102" i="1"/>
  <c r="AK113" i="1"/>
  <c r="AB13" i="4"/>
  <c r="AC10" i="4"/>
  <c r="AC13" i="4" s="1"/>
  <c r="AF13" i="4"/>
  <c r="AP69" i="1"/>
  <c r="AP10" i="1"/>
  <c r="AP6" i="1"/>
  <c r="AP154" i="1"/>
  <c r="AP159" i="1" s="1"/>
  <c r="AP101" i="1"/>
  <c r="AP143" i="1"/>
  <c r="AP50" i="1" s="1"/>
  <c r="AK103" i="1"/>
  <c r="AJ148" i="1"/>
  <c r="AK150" i="1"/>
  <c r="AL114" i="1"/>
  <c r="AL154" i="1"/>
  <c r="AL159" i="1" s="1"/>
  <c r="AQ138" i="1"/>
  <c r="AC102" i="1"/>
  <c r="AD147" i="1" s="1"/>
  <c r="AB147" i="1"/>
  <c r="AC147" i="1" s="1"/>
  <c r="G15" i="10" s="1"/>
  <c r="AR33" i="8"/>
  <c r="AW44" i="1"/>
  <c r="AH101" i="1"/>
  <c r="AI146" i="1" s="1"/>
  <c r="AG146" i="1"/>
  <c r="AS138" i="1"/>
  <c r="AN154" i="1"/>
  <c r="AJ58" i="1"/>
  <c r="AJ17" i="1" s="1"/>
  <c r="AJ15" i="1"/>
  <c r="AE149" i="1"/>
  <c r="AE116" i="1"/>
  <c r="AU41" i="1"/>
  <c r="AU51" i="1" s="1"/>
  <c r="AU49" i="1"/>
  <c r="AU5" i="1" s="1"/>
  <c r="AA142" i="1"/>
  <c r="AA152" i="1" s="1"/>
  <c r="AA168" i="1" s="1"/>
  <c r="AA67" i="1"/>
  <c r="AA61" i="1"/>
  <c r="AL151" i="1"/>
  <c r="AM151" i="1" s="1"/>
  <c r="I19" i="10" s="1"/>
  <c r="AM115" i="1"/>
  <c r="AN115" i="1" s="1"/>
  <c r="AF59" i="1"/>
  <c r="I7" i="10"/>
  <c r="AB18" i="1"/>
  <c r="AB20" i="1" s="1"/>
  <c r="AB71" i="1" s="1"/>
  <c r="AB70" i="1"/>
  <c r="AL6" i="1"/>
  <c r="AL8" i="1" s="1"/>
  <c r="AL69" i="1"/>
  <c r="AL10" i="1"/>
  <c r="AM10" i="1" s="1"/>
  <c r="AM73" i="1" s="1"/>
  <c r="AL101" i="1"/>
  <c r="AC146" i="1"/>
  <c r="G14" i="10" s="1"/>
  <c r="AV44" i="1"/>
  <c r="AV46" i="1" s="1"/>
  <c r="AW46" i="1" s="1"/>
  <c r="AW45" i="1" s="1"/>
  <c r="AG11" i="4"/>
  <c r="AH11" i="4" s="1"/>
  <c r="AI113" i="1"/>
  <c r="AI102" i="1"/>
  <c r="AG102" i="1"/>
  <c r="AG113" i="1"/>
  <c r="AD17" i="1"/>
  <c r="AD18" i="1" s="1"/>
  <c r="AD20" i="1" s="1"/>
  <c r="AD71" i="1" s="1"/>
  <c r="AQ41" i="1"/>
  <c r="AQ49" i="1"/>
  <c r="AL74" i="1"/>
  <c r="AK11" i="1"/>
  <c r="AI8" i="1"/>
  <c r="AE142" i="1"/>
  <c r="AE67" i="1"/>
  <c r="AE61" i="1"/>
  <c r="J155" i="7"/>
  <c r="K155" i="7" s="1"/>
  <c r="AM137" i="1"/>
  <c r="AM143" i="1" s="1"/>
  <c r="I10" i="10" s="1"/>
  <c r="AM138" i="1"/>
  <c r="AM69" i="1"/>
  <c r="AB149" i="1"/>
  <c r="AC149" i="1" s="1"/>
  <c r="G17" i="10" s="1"/>
  <c r="AC113" i="1"/>
  <c r="AD149" i="1" s="1"/>
  <c r="AB116" i="1"/>
  <c r="AO6" i="1"/>
  <c r="AO69" i="1"/>
  <c r="AO8" i="1"/>
  <c r="AO10" i="1"/>
  <c r="AO154" i="1"/>
  <c r="AO159" i="1" s="1"/>
  <c r="AO143" i="1"/>
  <c r="AO50" i="1" s="1"/>
  <c r="AO101" i="1"/>
  <c r="AH56" i="1"/>
  <c r="AH15" i="1" s="1"/>
  <c r="AC58" i="1"/>
  <c r="AC17" i="1" s="1"/>
  <c r="AE13" i="4"/>
  <c r="AM49" i="1"/>
  <c r="AM66" i="1" s="1"/>
  <c r="AG8" i="1"/>
  <c r="AO66" i="1"/>
  <c r="AO56" i="1"/>
  <c r="AD116" i="1"/>
  <c r="AK8" i="1"/>
  <c r="AJ113" i="1"/>
  <c r="AJ102" i="1"/>
  <c r="AB59" i="1"/>
  <c r="AL56" i="1"/>
  <c r="AM56" i="1" s="1"/>
  <c r="AM15" i="1" s="1"/>
  <c r="AL66" i="1"/>
  <c r="AL50" i="1"/>
  <c r="AJ59" i="1" l="1"/>
  <c r="AG59" i="1"/>
  <c r="AK147" i="1"/>
  <c r="AH58" i="1"/>
  <c r="AH17" i="1" s="1"/>
  <c r="H8" i="10" s="1"/>
  <c r="H9" i="10" s="1"/>
  <c r="AB145" i="1"/>
  <c r="AC145" i="1" s="1"/>
  <c r="AF145" i="1"/>
  <c r="AO146" i="1"/>
  <c r="AI142" i="1"/>
  <c r="AI67" i="1"/>
  <c r="AI61" i="1"/>
  <c r="AM70" i="1"/>
  <c r="AJ149" i="1"/>
  <c r="AJ116" i="1"/>
  <c r="AO115" i="1"/>
  <c r="AN151" i="1"/>
  <c r="AP102" i="1"/>
  <c r="AP113" i="1"/>
  <c r="X100" i="1"/>
  <c r="W104" i="1"/>
  <c r="AG147" i="1"/>
  <c r="AG145" i="1" s="1"/>
  <c r="AH102" i="1"/>
  <c r="AW51" i="1"/>
  <c r="AS56" i="1"/>
  <c r="AS66" i="1"/>
  <c r="AN113" i="1"/>
  <c r="AN102" i="1"/>
  <c r="AQ5" i="1"/>
  <c r="AR49" i="1"/>
  <c r="AW41" i="1"/>
  <c r="AK148" i="1"/>
  <c r="AL103" i="1"/>
  <c r="AV41" i="1"/>
  <c r="AV51" i="1" s="1"/>
  <c r="AV49" i="1"/>
  <c r="AV5" i="1" s="1"/>
  <c r="AW5" i="1" s="1"/>
  <c r="H10" i="10"/>
  <c r="AH50" i="1"/>
  <c r="AA123" i="1"/>
  <c r="Z125" i="1"/>
  <c r="Z127" i="1" s="1"/>
  <c r="G8" i="10"/>
  <c r="G9" i="10" s="1"/>
  <c r="AC18" i="1"/>
  <c r="AC20" i="1" s="1"/>
  <c r="AS6" i="1"/>
  <c r="AS8" i="1"/>
  <c r="AS69" i="1"/>
  <c r="AS10" i="1"/>
  <c r="AS101" i="1"/>
  <c r="AI147" i="1"/>
  <c r="AJ142" i="1"/>
  <c r="AJ61" i="1"/>
  <c r="AJ67" i="1"/>
  <c r="AG13" i="4"/>
  <c r="AG142" i="1"/>
  <c r="AG61" i="1"/>
  <c r="AG67" i="1"/>
  <c r="AO58" i="1"/>
  <c r="AO17" i="1" s="1"/>
  <c r="AO15" i="1"/>
  <c r="AO102" i="1"/>
  <c r="AO147" i="1" s="1"/>
  <c r="AO113" i="1"/>
  <c r="AQ51" i="1"/>
  <c r="AR41" i="1"/>
  <c r="AR40" i="1" s="1"/>
  <c r="AL146" i="1"/>
  <c r="AM101" i="1"/>
  <c r="AL58" i="1"/>
  <c r="AL17" i="1" s="1"/>
  <c r="AL15" i="1"/>
  <c r="AH70" i="1"/>
  <c r="AH18" i="1"/>
  <c r="AH20" i="1" s="1"/>
  <c r="AC116" i="1"/>
  <c r="AH146" i="1"/>
  <c r="H14" i="10" s="1"/>
  <c r="AM6" i="1"/>
  <c r="AM8" i="1" s="1"/>
  <c r="AH10" i="4"/>
  <c r="AH13" i="4" s="1"/>
  <c r="AK70" i="1"/>
  <c r="AK18" i="1"/>
  <c r="AK20" i="1" s="1"/>
  <c r="AK71" i="1" s="1"/>
  <c r="AL106" i="1"/>
  <c r="AM106" i="1" s="1"/>
  <c r="AN106" i="1" s="1"/>
  <c r="AO106" i="1" s="1"/>
  <c r="AP106" i="1" s="1"/>
  <c r="AI70" i="1"/>
  <c r="AL113" i="1"/>
  <c r="AL102" i="1"/>
  <c r="AK149" i="1"/>
  <c r="AK116" i="1"/>
  <c r="Y170" i="1"/>
  <c r="AC170" i="1"/>
  <c r="AH113" i="1"/>
  <c r="AI149" i="1" s="1"/>
  <c r="AG149" i="1"/>
  <c r="AH149" i="1" s="1"/>
  <c r="H17" i="10" s="1"/>
  <c r="AG116" i="1"/>
  <c r="AT6" i="1"/>
  <c r="AT8" i="1" s="1"/>
  <c r="AT69" i="1"/>
  <c r="AT10" i="1"/>
  <c r="AT154" i="1"/>
  <c r="AT159" i="1" s="1"/>
  <c r="AT143" i="1"/>
  <c r="AT50" i="1" s="1"/>
  <c r="AT101" i="1"/>
  <c r="AM74" i="1"/>
  <c r="AN74" i="1" s="1"/>
  <c r="AL11" i="1"/>
  <c r="AM11" i="1" s="1"/>
  <c r="AT56" i="1"/>
  <c r="AT66" i="1"/>
  <c r="AW39" i="1"/>
  <c r="AR25" i="8"/>
  <c r="AP8" i="1"/>
  <c r="AE145" i="1"/>
  <c r="AE152" i="1" s="1"/>
  <c r="AE168" i="1" s="1"/>
  <c r="AI116" i="1"/>
  <c r="AB142" i="1"/>
  <c r="AB152" i="1" s="1"/>
  <c r="AB168" i="1" s="1"/>
  <c r="AB67" i="1"/>
  <c r="AB61" i="1"/>
  <c r="AC61" i="1" s="1"/>
  <c r="AC59" i="1"/>
  <c r="AD145" i="1"/>
  <c r="AD152" i="1" s="1"/>
  <c r="AH147" i="1"/>
  <c r="H15" i="10" s="1"/>
  <c r="AU69" i="1"/>
  <c r="AU10" i="1"/>
  <c r="AU6" i="1"/>
  <c r="AU8" i="1" s="1"/>
  <c r="AU154" i="1"/>
  <c r="AU159" i="1" s="1"/>
  <c r="AU143" i="1"/>
  <c r="AU50" i="1" s="1"/>
  <c r="AU101" i="1"/>
  <c r="AU146" i="1" s="1"/>
  <c r="AN159" i="1"/>
  <c r="AV138" i="1"/>
  <c r="AQ154" i="1"/>
  <c r="AQ159" i="1" s="1"/>
  <c r="AN15" i="1"/>
  <c r="AN58" i="1"/>
  <c r="AN59" i="1" s="1"/>
  <c r="AS143" i="1"/>
  <c r="AS50" i="1" s="1"/>
  <c r="AK59" i="1"/>
  <c r="AM154" i="1"/>
  <c r="I11" i="10" s="1"/>
  <c r="AN146" i="1"/>
  <c r="AL150" i="1"/>
  <c r="AM150" i="1" s="1"/>
  <c r="I18" i="10" s="1"/>
  <c r="AM114" i="1"/>
  <c r="AN114" i="1" s="1"/>
  <c r="Y168" i="1"/>
  <c r="G13" i="10"/>
  <c r="AJ18" i="1"/>
  <c r="AJ20" i="1" s="1"/>
  <c r="AJ71" i="1" s="1"/>
  <c r="AJ70" i="1"/>
  <c r="AG70" i="1"/>
  <c r="AG18" i="1"/>
  <c r="AG20" i="1" s="1"/>
  <c r="AG71" i="1" s="1"/>
  <c r="AM50" i="1"/>
  <c r="AJ147" i="1"/>
  <c r="AF142" i="1"/>
  <c r="AF152" i="1" s="1"/>
  <c r="AF168" i="1" s="1"/>
  <c r="AF61" i="1"/>
  <c r="AH61" i="1" s="1"/>
  <c r="AF67" i="1"/>
  <c r="AU56" i="1"/>
  <c r="AU66" i="1"/>
  <c r="AS154" i="1"/>
  <c r="AP146" i="1"/>
  <c r="AP15" i="1"/>
  <c r="AP58" i="1"/>
  <c r="AP17" i="1" s="1"/>
  <c r="AM159" i="1"/>
  <c r="AM58" i="1"/>
  <c r="AM17" i="1" s="1"/>
  <c r="I8" i="10" s="1"/>
  <c r="I9" i="10" s="1"/>
  <c r="AI17" i="1"/>
  <c r="AI18" i="1" s="1"/>
  <c r="AI20" i="1" s="1"/>
  <c r="AI71" i="1" s="1"/>
  <c r="AH59" i="1"/>
  <c r="AL59" i="1" l="1"/>
  <c r="AV154" i="1"/>
  <c r="AV159" i="1" s="1"/>
  <c r="G24" i="10"/>
  <c r="AW49" i="1"/>
  <c r="AW66" i="1" s="1"/>
  <c r="AW40" i="1"/>
  <c r="AG152" i="1"/>
  <c r="AG168" i="1" s="1"/>
  <c r="AI145" i="1"/>
  <c r="AI152" i="1" s="1"/>
  <c r="AN149" i="1"/>
  <c r="AN116" i="1"/>
  <c r="AR159" i="1"/>
  <c r="AP18" i="1"/>
  <c r="AP20" i="1" s="1"/>
  <c r="AP71" i="1" s="1"/>
  <c r="AP70" i="1"/>
  <c r="AL148" i="1"/>
  <c r="AM148" i="1" s="1"/>
  <c r="I16" i="10" s="1"/>
  <c r="AM103" i="1"/>
  <c r="AN103" i="1" s="1"/>
  <c r="G25" i="10"/>
  <c r="N22" i="10"/>
  <c r="N23" i="10" s="1"/>
  <c r="AQ106" i="1"/>
  <c r="AR106" i="1" s="1"/>
  <c r="AS106" i="1" s="1"/>
  <c r="AT106" i="1" s="1"/>
  <c r="AU106" i="1" s="1"/>
  <c r="AV106" i="1" s="1"/>
  <c r="AW106" i="1" s="1"/>
  <c r="AR154" i="1"/>
  <c r="J11" i="10" s="1"/>
  <c r="AQ66" i="1"/>
  <c r="AQ56" i="1"/>
  <c r="AR51" i="1"/>
  <c r="AJ145" i="1"/>
  <c r="AJ152" i="1" s="1"/>
  <c r="AJ168" i="1" s="1"/>
  <c r="AC152" i="1"/>
  <c r="AO149" i="1"/>
  <c r="AO74" i="1"/>
  <c r="AN11" i="1"/>
  <c r="J157" i="7"/>
  <c r="AW138" i="1"/>
  <c r="AH67" i="1"/>
  <c r="AH142" i="1"/>
  <c r="X104" i="1"/>
  <c r="W110" i="1"/>
  <c r="AK142" i="1"/>
  <c r="AK61" i="1"/>
  <c r="AM61" i="1" s="1"/>
  <c r="AK67" i="1"/>
  <c r="AT58" i="1"/>
  <c r="AT17" i="1" s="1"/>
  <c r="AT59" i="1"/>
  <c r="AT15" i="1"/>
  <c r="AA125" i="1"/>
  <c r="AA127" i="1" s="1"/>
  <c r="AB123" i="1"/>
  <c r="AW154" i="1"/>
  <c r="K11" i="10" s="1"/>
  <c r="AS159" i="1"/>
  <c r="AW159" i="1" s="1"/>
  <c r="AH145" i="1"/>
  <c r="AL18" i="1"/>
  <c r="AL20" i="1" s="1"/>
  <c r="AL71" i="1" s="1"/>
  <c r="AL70" i="1"/>
  <c r="AP149" i="1"/>
  <c r="AM146" i="1"/>
  <c r="I14" i="10" s="1"/>
  <c r="AO114" i="1"/>
  <c r="AO116" i="1" s="1"/>
  <c r="AN150" i="1"/>
  <c r="AN61" i="1"/>
  <c r="AN67" i="1"/>
  <c r="AN142" i="1"/>
  <c r="AL147" i="1"/>
  <c r="AM147" i="1" s="1"/>
  <c r="I15" i="10" s="1"/>
  <c r="AM102" i="1"/>
  <c r="AN147" i="1" s="1"/>
  <c r="AL142" i="1"/>
  <c r="AL61" i="1"/>
  <c r="AL67" i="1"/>
  <c r="AV6" i="1"/>
  <c r="AV8" i="1" s="1"/>
  <c r="AV10" i="1"/>
  <c r="AV69" i="1"/>
  <c r="AV101" i="1"/>
  <c r="AP147" i="1"/>
  <c r="AU58" i="1"/>
  <c r="AU17" i="1" s="1"/>
  <c r="AU15" i="1"/>
  <c r="AU59" i="1"/>
  <c r="AN17" i="1"/>
  <c r="AC142" i="1"/>
  <c r="AC67" i="1"/>
  <c r="AT146" i="1"/>
  <c r="AH116" i="1"/>
  <c r="AL149" i="1"/>
  <c r="AM149" i="1" s="1"/>
  <c r="I17" i="10" s="1"/>
  <c r="AL116" i="1"/>
  <c r="AM113" i="1"/>
  <c r="AO59" i="1"/>
  <c r="AK145" i="1"/>
  <c r="AV56" i="1"/>
  <c r="AW56" i="1" s="1"/>
  <c r="AW15" i="1" s="1"/>
  <c r="AV66" i="1"/>
  <c r="AW10" i="1"/>
  <c r="AW73" i="1" s="1"/>
  <c r="AD168" i="1"/>
  <c r="AH152" i="1"/>
  <c r="AH71" i="1"/>
  <c r="J140" i="7"/>
  <c r="Y171" i="1"/>
  <c r="AC168" i="1"/>
  <c r="AC171" i="1" s="1"/>
  <c r="AT102" i="1"/>
  <c r="AT113" i="1"/>
  <c r="AS58" i="1"/>
  <c r="AS59" i="1" s="1"/>
  <c r="AS15" i="1"/>
  <c r="AM59" i="1"/>
  <c r="AO18" i="1"/>
  <c r="AO20" i="1" s="1"/>
  <c r="AO71" i="1" s="1"/>
  <c r="AO70" i="1"/>
  <c r="AS102" i="1"/>
  <c r="AS113" i="1"/>
  <c r="AQ6" i="1"/>
  <c r="AQ8" i="1" s="1"/>
  <c r="AQ69" i="1"/>
  <c r="AQ10" i="1"/>
  <c r="AR10" i="1" s="1"/>
  <c r="AR73" i="1" s="1"/>
  <c r="AQ101" i="1"/>
  <c r="AQ143" i="1"/>
  <c r="AQ50" i="1" s="1"/>
  <c r="AR5" i="1"/>
  <c r="AW69" i="1" s="1"/>
  <c r="K7" i="10"/>
  <c r="AP59" i="1"/>
  <c r="AN18" i="1"/>
  <c r="AN20" i="1" s="1"/>
  <c r="AN71" i="1" s="1"/>
  <c r="AN70" i="1"/>
  <c r="AU102" i="1"/>
  <c r="AU113" i="1"/>
  <c r="H13" i="10"/>
  <c r="H24" i="10" s="1"/>
  <c r="H25" i="10" s="1"/>
  <c r="AC71" i="1"/>
  <c r="J139" i="7"/>
  <c r="AV143" i="1"/>
  <c r="AV50" i="1" s="1"/>
  <c r="AP115" i="1"/>
  <c r="AO151" i="1"/>
  <c r="AM18" i="1"/>
  <c r="AM20" i="1" s="1"/>
  <c r="AT147" i="1" l="1"/>
  <c r="AR101" i="1"/>
  <c r="AS146" i="1" s="1"/>
  <c r="AQ146" i="1"/>
  <c r="AP74" i="1"/>
  <c r="AO11" i="1"/>
  <c r="AD170" i="1"/>
  <c r="AH170" i="1"/>
  <c r="AP67" i="1"/>
  <c r="AP61" i="1"/>
  <c r="AP142" i="1"/>
  <c r="AO67" i="1"/>
  <c r="AO142" i="1"/>
  <c r="AO61" i="1"/>
  <c r="AK152" i="1"/>
  <c r="AK168" i="1" s="1"/>
  <c r="AI168" i="1"/>
  <c r="AL152" i="1"/>
  <c r="AL168" i="1" s="1"/>
  <c r="I13" i="10"/>
  <c r="I24" i="10" s="1"/>
  <c r="I25" i="10" s="1"/>
  <c r="K139" i="7"/>
  <c r="L123" i="7"/>
  <c r="Z170" i="1"/>
  <c r="Z171" i="1" s="1"/>
  <c r="Y100" i="1"/>
  <c r="Y104" i="1" s="1"/>
  <c r="Y110" i="1" s="1"/>
  <c r="Y129" i="1" s="1"/>
  <c r="AO103" i="1"/>
  <c r="AN148" i="1"/>
  <c r="AS18" i="1"/>
  <c r="AS20" i="1" s="1"/>
  <c r="AS71" i="1" s="1"/>
  <c r="AS70" i="1"/>
  <c r="AM116" i="1"/>
  <c r="X110" i="1"/>
  <c r="W129" i="1"/>
  <c r="AN145" i="1"/>
  <c r="AN152" i="1" s="1"/>
  <c r="AV146" i="1"/>
  <c r="AW101" i="1"/>
  <c r="AM67" i="1"/>
  <c r="AM142" i="1"/>
  <c r="AC123" i="1"/>
  <c r="AD123" i="1" s="1"/>
  <c r="AB125" i="1"/>
  <c r="AL145" i="1"/>
  <c r="AM145" i="1" s="1"/>
  <c r="AQ102" i="1"/>
  <c r="AQ113" i="1"/>
  <c r="AR6" i="1"/>
  <c r="AR8" i="1" s="1"/>
  <c r="AU61" i="1"/>
  <c r="AU142" i="1"/>
  <c r="AU67" i="1"/>
  <c r="E5" i="11"/>
  <c r="AW137" i="1"/>
  <c r="AW143" i="1" s="1"/>
  <c r="J156" i="7"/>
  <c r="K156" i="7" s="1"/>
  <c r="AR69" i="1"/>
  <c r="AR137" i="1"/>
  <c r="AR143" i="1" s="1"/>
  <c r="J10" i="10" s="1"/>
  <c r="AR138" i="1"/>
  <c r="AS17" i="1"/>
  <c r="AU70" i="1"/>
  <c r="AU18" i="1"/>
  <c r="AU20" i="1" s="1"/>
  <c r="AU71" i="1" s="1"/>
  <c r="AT142" i="1"/>
  <c r="AT61" i="1"/>
  <c r="AT67" i="1"/>
  <c r="AR66" i="1"/>
  <c r="J7" i="10"/>
  <c r="AP114" i="1"/>
  <c r="AO150" i="1"/>
  <c r="K140" i="7"/>
  <c r="J141" i="7"/>
  <c r="K141" i="7" s="1"/>
  <c r="AM71" i="1"/>
  <c r="AS142" i="1"/>
  <c r="AS61" i="1"/>
  <c r="AS67" i="1"/>
  <c r="AV113" i="1"/>
  <c r="AV102" i="1"/>
  <c r="AT18" i="1"/>
  <c r="AT20" i="1" s="1"/>
  <c r="AT71" i="1" s="1"/>
  <c r="AT70" i="1"/>
  <c r="AU149" i="1"/>
  <c r="AQ115" i="1"/>
  <c r="AP151" i="1"/>
  <c r="AU147" i="1"/>
  <c r="AW6" i="1"/>
  <c r="AW8" i="1" s="1"/>
  <c r="AT149" i="1"/>
  <c r="AH168" i="1"/>
  <c r="AH171" i="1" s="1"/>
  <c r="AD171" i="1"/>
  <c r="AV58" i="1"/>
  <c r="AV17" i="1" s="1"/>
  <c r="AV15" i="1"/>
  <c r="AV59" i="1"/>
  <c r="AW59" i="1" s="1"/>
  <c r="AQ58" i="1"/>
  <c r="AQ59" i="1"/>
  <c r="AR59" i="1" s="1"/>
  <c r="AQ15" i="1"/>
  <c r="AR56" i="1"/>
  <c r="AR15" i="1" s="1"/>
  <c r="AW70" i="1" s="1"/>
  <c r="AN168" i="1" l="1"/>
  <c r="AW67" i="1"/>
  <c r="AW142" i="1"/>
  <c r="AR67" i="1"/>
  <c r="AR142" i="1"/>
  <c r="AE170" i="1"/>
  <c r="AE171" i="1" s="1"/>
  <c r="AD100" i="1"/>
  <c r="AD104" i="1" s="1"/>
  <c r="AD110" i="1" s="1"/>
  <c r="AQ74" i="1"/>
  <c r="AP11" i="1"/>
  <c r="K10" i="10"/>
  <c r="AW50" i="1"/>
  <c r="AR102" i="1"/>
  <c r="AS147" i="1" s="1"/>
  <c r="AQ147" i="1"/>
  <c r="AR147" i="1" s="1"/>
  <c r="J15" i="10" s="1"/>
  <c r="AR146" i="1"/>
  <c r="J14" i="10" s="1"/>
  <c r="AR113" i="1"/>
  <c r="AS149" i="1" s="1"/>
  <c r="AQ149" i="1"/>
  <c r="AR149" i="1" s="1"/>
  <c r="J17" i="10" s="1"/>
  <c r="AM170" i="1"/>
  <c r="AI170" i="1"/>
  <c r="AI171" i="1" s="1"/>
  <c r="AV147" i="1"/>
  <c r="AW102" i="1"/>
  <c r="AW146" i="1"/>
  <c r="K14" i="10" s="1"/>
  <c r="AQ17" i="1"/>
  <c r="AQ18" i="1" s="1"/>
  <c r="AQ20" i="1" s="1"/>
  <c r="AQ71" i="1" s="1"/>
  <c r="AR58" i="1"/>
  <c r="AR17" i="1" s="1"/>
  <c r="J8" i="10" s="1"/>
  <c r="J9" i="10" s="1"/>
  <c r="AV149" i="1"/>
  <c r="AW113" i="1"/>
  <c r="AC125" i="1"/>
  <c r="AB127" i="1"/>
  <c r="AP103" i="1"/>
  <c r="AO148" i="1"/>
  <c r="AO145" i="1" s="1"/>
  <c r="AO152" i="1" s="1"/>
  <c r="AM152" i="1"/>
  <c r="AQ67" i="1"/>
  <c r="AQ61" i="1"/>
  <c r="AR61" i="1" s="1"/>
  <c r="AQ142" i="1"/>
  <c r="AV18" i="1"/>
  <c r="AV20" i="1" s="1"/>
  <c r="AV70" i="1"/>
  <c r="AR50" i="1"/>
  <c r="AD125" i="1"/>
  <c r="AD127" i="1" s="1"/>
  <c r="AD129" i="1" s="1"/>
  <c r="AE123" i="1"/>
  <c r="E9" i="11"/>
  <c r="E11" i="11" s="1"/>
  <c r="E10" i="11"/>
  <c r="X129" i="1"/>
  <c r="AM168" i="1"/>
  <c r="AQ70" i="1"/>
  <c r="AQ114" i="1"/>
  <c r="AP150" i="1"/>
  <c r="AP116" i="1"/>
  <c r="AV142" i="1"/>
  <c r="AV67" i="1"/>
  <c r="AV61" i="1"/>
  <c r="AW61" i="1" s="1"/>
  <c r="AR70" i="1"/>
  <c r="AR115" i="1"/>
  <c r="AS115" i="1" s="1"/>
  <c r="AQ151" i="1"/>
  <c r="AR151" i="1" s="1"/>
  <c r="J19" i="10" s="1"/>
  <c r="K157" i="7"/>
  <c r="AW58" i="1"/>
  <c r="AW17" i="1" s="1"/>
  <c r="AA170" i="1"/>
  <c r="AA171" i="1" s="1"/>
  <c r="Z100" i="1"/>
  <c r="Z104" i="1" s="1"/>
  <c r="Z110" i="1" s="1"/>
  <c r="Z129" i="1" s="1"/>
  <c r="AI100" i="1" l="1"/>
  <c r="AI104" i="1" s="1"/>
  <c r="AI110" i="1" s="1"/>
  <c r="AJ170" i="1"/>
  <c r="AJ171" i="1" s="1"/>
  <c r="AO168" i="1"/>
  <c r="AR11" i="1"/>
  <c r="AS151" i="1"/>
  <c r="AT115" i="1"/>
  <c r="AQ103" i="1"/>
  <c r="AP148" i="1"/>
  <c r="AP145" i="1" s="1"/>
  <c r="AC127" i="1"/>
  <c r="AR18" i="1"/>
  <c r="AR20" i="1" s="1"/>
  <c r="AE125" i="1"/>
  <c r="AE127" i="1" s="1"/>
  <c r="AF123" i="1"/>
  <c r="K8" i="10"/>
  <c r="K9" i="10" s="1"/>
  <c r="AW18" i="1"/>
  <c r="AW20" i="1" s="1"/>
  <c r="AM171" i="1"/>
  <c r="AW147" i="1"/>
  <c r="K15" i="10" s="1"/>
  <c r="AR74" i="1"/>
  <c r="AS74" i="1" s="1"/>
  <c r="AQ11" i="1"/>
  <c r="AR114" i="1"/>
  <c r="AS114" i="1" s="1"/>
  <c r="AQ150" i="1"/>
  <c r="AR150" i="1" s="1"/>
  <c r="J18" i="10" s="1"/>
  <c r="AB170" i="1"/>
  <c r="AB171" i="1" s="1"/>
  <c r="AB100" i="1" s="1"/>
  <c r="AA100" i="1"/>
  <c r="AA104" i="1" s="1"/>
  <c r="AA110" i="1" s="1"/>
  <c r="AA129" i="1" s="1"/>
  <c r="AQ116" i="1"/>
  <c r="AE100" i="1"/>
  <c r="AE104" i="1" s="1"/>
  <c r="AE110" i="1" s="1"/>
  <c r="AF170" i="1"/>
  <c r="AF171" i="1" s="1"/>
  <c r="AV71" i="1"/>
  <c r="AW149" i="1"/>
  <c r="K17" i="10" s="1"/>
  <c r="AR71" i="1" l="1"/>
  <c r="J142" i="7"/>
  <c r="K142" i="7" s="1"/>
  <c r="AS150" i="1"/>
  <c r="AT114" i="1"/>
  <c r="AS116" i="1"/>
  <c r="AW71" i="1"/>
  <c r="J143" i="7"/>
  <c r="K143" i="7" s="1"/>
  <c r="AC100" i="1"/>
  <c r="AB104" i="1"/>
  <c r="AP152" i="1"/>
  <c r="AR116" i="1"/>
  <c r="AR103" i="1"/>
  <c r="AS103" i="1" s="1"/>
  <c r="AQ148" i="1"/>
  <c r="AQ145" i="1" s="1"/>
  <c r="AQ152" i="1" s="1"/>
  <c r="AQ168" i="1" s="1"/>
  <c r="AK170" i="1"/>
  <c r="AK171" i="1" s="1"/>
  <c r="AJ100" i="1"/>
  <c r="AJ104" i="1" s="1"/>
  <c r="AJ110" i="1" s="1"/>
  <c r="AF100" i="1"/>
  <c r="AF104" i="1" s="1"/>
  <c r="AF110" i="1" s="1"/>
  <c r="AG170" i="1"/>
  <c r="AG171" i="1" s="1"/>
  <c r="AG100" i="1" s="1"/>
  <c r="AT74" i="1"/>
  <c r="AS11" i="1"/>
  <c r="AF125" i="1"/>
  <c r="AF127" i="1" s="1"/>
  <c r="AG123" i="1"/>
  <c r="AE129" i="1"/>
  <c r="AR170" i="1"/>
  <c r="AN170" i="1"/>
  <c r="AN171" i="1" s="1"/>
  <c r="AT151" i="1"/>
  <c r="AU115" i="1"/>
  <c r="AG104" i="1" l="1"/>
  <c r="AH100" i="1"/>
  <c r="AL170" i="1"/>
  <c r="AL171" i="1" s="1"/>
  <c r="AL100" i="1" s="1"/>
  <c r="AK100" i="1"/>
  <c r="AK104" i="1" s="1"/>
  <c r="AK110" i="1" s="1"/>
  <c r="AS148" i="1"/>
  <c r="AT103" i="1"/>
  <c r="AR145" i="1"/>
  <c r="AP168" i="1"/>
  <c r="AR152" i="1"/>
  <c r="AT150" i="1"/>
  <c r="AU114" i="1"/>
  <c r="AT116" i="1"/>
  <c r="AB110" i="1"/>
  <c r="AC104" i="1"/>
  <c r="AR148" i="1"/>
  <c r="J16" i="10" s="1"/>
  <c r="J13" i="10" s="1"/>
  <c r="J24" i="10" s="1"/>
  <c r="J25" i="10" s="1"/>
  <c r="AO170" i="1"/>
  <c r="AO171" i="1" s="1"/>
  <c r="AN100" i="1"/>
  <c r="AN104" i="1" s="1"/>
  <c r="AN110" i="1" s="1"/>
  <c r="AG125" i="1"/>
  <c r="AH123" i="1"/>
  <c r="AI123" i="1" s="1"/>
  <c r="AF129" i="1"/>
  <c r="AV115" i="1"/>
  <c r="AU151" i="1"/>
  <c r="AU74" i="1"/>
  <c r="AT11" i="1"/>
  <c r="AS145" i="1" l="1"/>
  <c r="AI125" i="1"/>
  <c r="AI127" i="1" s="1"/>
  <c r="AI129" i="1" s="1"/>
  <c r="AJ123" i="1"/>
  <c r="AM100" i="1"/>
  <c r="AL104" i="1"/>
  <c r="AC110" i="1"/>
  <c r="AC129" i="1" s="1"/>
  <c r="AB129" i="1"/>
  <c r="AU103" i="1"/>
  <c r="AT148" i="1"/>
  <c r="AT145" i="1" s="1"/>
  <c r="AT152" i="1" s="1"/>
  <c r="AT168" i="1" s="1"/>
  <c r="AH125" i="1"/>
  <c r="AG127" i="1"/>
  <c r="AU150" i="1"/>
  <c r="AV114" i="1"/>
  <c r="AU116" i="1"/>
  <c r="AV74" i="1"/>
  <c r="AU11" i="1"/>
  <c r="AV151" i="1"/>
  <c r="AW151" i="1" s="1"/>
  <c r="K19" i="10" s="1"/>
  <c r="AW115" i="1"/>
  <c r="AO100" i="1"/>
  <c r="AO104" i="1" s="1"/>
  <c r="AO110" i="1" s="1"/>
  <c r="AP170" i="1"/>
  <c r="AP171" i="1"/>
  <c r="AR168" i="1"/>
  <c r="AR171" i="1" s="1"/>
  <c r="AG110" i="1"/>
  <c r="AH110" i="1" s="1"/>
  <c r="AH104" i="1"/>
  <c r="AV150" i="1" l="1"/>
  <c r="AW114" i="1"/>
  <c r="AV116" i="1"/>
  <c r="AQ170" i="1"/>
  <c r="AQ171" i="1" s="1"/>
  <c r="AQ100" i="1" s="1"/>
  <c r="AP100" i="1"/>
  <c r="AP104" i="1" s="1"/>
  <c r="AP110" i="1" s="1"/>
  <c r="AG129" i="1"/>
  <c r="AH127" i="1"/>
  <c r="AH129" i="1" s="1"/>
  <c r="AS152" i="1"/>
  <c r="AU148" i="1"/>
  <c r="AU145" i="1" s="1"/>
  <c r="AU152" i="1" s="1"/>
  <c r="AU168" i="1" s="1"/>
  <c r="AV103" i="1"/>
  <c r="AL110" i="1"/>
  <c r="AM110" i="1" s="1"/>
  <c r="AM104" i="1"/>
  <c r="AW150" i="1"/>
  <c r="K18" i="10" s="1"/>
  <c r="AJ125" i="1"/>
  <c r="AJ127" i="1" s="1"/>
  <c r="AJ129" i="1" s="1"/>
  <c r="AK123" i="1"/>
  <c r="AW74" i="1"/>
  <c r="AV11" i="1"/>
  <c r="AW11" i="1" s="1"/>
  <c r="AW170" i="1"/>
  <c r="AS170" i="1"/>
  <c r="AS168" i="1" l="1"/>
  <c r="AQ104" i="1"/>
  <c r="AR100" i="1"/>
  <c r="AV148" i="1"/>
  <c r="AV145" i="1" s="1"/>
  <c r="AV152" i="1" s="1"/>
  <c r="AV168" i="1" s="1"/>
  <c r="AW103" i="1"/>
  <c r="AW116" i="1"/>
  <c r="AL123" i="1"/>
  <c r="AK125" i="1"/>
  <c r="AK127" i="1" s="1"/>
  <c r="AK129" i="1" s="1"/>
  <c r="AW145" i="1" l="1"/>
  <c r="AR104" i="1"/>
  <c r="AQ110" i="1"/>
  <c r="AR110" i="1" s="1"/>
  <c r="AS171" i="1"/>
  <c r="AW168" i="1"/>
  <c r="AW171" i="1" s="1"/>
  <c r="AM123" i="1"/>
  <c r="AN123" i="1" s="1"/>
  <c r="AL125" i="1"/>
  <c r="AW152" i="1"/>
  <c r="AW148" i="1"/>
  <c r="K16" i="10" s="1"/>
  <c r="K13" i="10" s="1"/>
  <c r="K24" i="10" s="1"/>
  <c r="N39" i="10" l="1"/>
  <c r="K25" i="10"/>
  <c r="N17" i="10"/>
  <c r="N34" i="10"/>
  <c r="AM125" i="1"/>
  <c r="AL127" i="1"/>
  <c r="AN125" i="1"/>
  <c r="AN127" i="1" s="1"/>
  <c r="AN129" i="1" s="1"/>
  <c r="AO123" i="1"/>
  <c r="AS100" i="1"/>
  <c r="AS104" i="1" s="1"/>
  <c r="AS110" i="1" s="1"/>
  <c r="AT170" i="1"/>
  <c r="AT171" i="1" s="1"/>
  <c r="AM127" i="1" l="1"/>
  <c r="AM129" i="1" s="1"/>
  <c r="AL129" i="1"/>
  <c r="AO125" i="1"/>
  <c r="AO127" i="1" s="1"/>
  <c r="AO129" i="1" s="1"/>
  <c r="AP123" i="1"/>
  <c r="AU170" i="1"/>
  <c r="AU171" i="1" s="1"/>
  <c r="AT100" i="1"/>
  <c r="AT104" i="1" s="1"/>
  <c r="AT110" i="1" s="1"/>
  <c r="N41" i="10"/>
  <c r="N24" i="10"/>
  <c r="N25" i="10" s="1"/>
  <c r="N7" i="10"/>
  <c r="N8" i="10" s="1"/>
  <c r="N51" i="10"/>
  <c r="N40" i="10"/>
  <c r="N52" i="10"/>
  <c r="N28" i="10" l="1"/>
  <c r="N30" i="10" s="1"/>
  <c r="N33" i="10"/>
  <c r="AU100" i="1"/>
  <c r="AU104" i="1" s="1"/>
  <c r="AU110" i="1" s="1"/>
  <c r="AV170" i="1"/>
  <c r="AV171" i="1" s="1"/>
  <c r="AV100" i="1" s="1"/>
  <c r="AP125" i="1"/>
  <c r="AP127" i="1" s="1"/>
  <c r="AP129" i="1" s="1"/>
  <c r="AQ123" i="1"/>
  <c r="N42" i="10"/>
  <c r="N45" i="10" s="1"/>
  <c r="N47" i="10" s="1"/>
  <c r="N11" i="10"/>
  <c r="N13" i="10" s="1"/>
  <c r="N16" i="10"/>
  <c r="O60" i="7" l="1"/>
  <c r="P60" i="7" s="1"/>
  <c r="N50" i="10"/>
  <c r="AV104" i="1"/>
  <c r="AW100" i="1"/>
  <c r="Q37" i="10"/>
  <c r="N48" i="10"/>
  <c r="AR123" i="1"/>
  <c r="AS123" i="1" s="1"/>
  <c r="AQ125" i="1"/>
  <c r="Q3" i="10"/>
  <c r="N14" i="10"/>
  <c r="Q20" i="10"/>
  <c r="N31" i="10"/>
  <c r="AT123" i="1" l="1"/>
  <c r="AS125" i="1"/>
  <c r="AS127" i="1" s="1"/>
  <c r="AS129" i="1" s="1"/>
  <c r="AR125" i="1"/>
  <c r="AQ127" i="1"/>
  <c r="AW104" i="1"/>
  <c r="AV110" i="1"/>
  <c r="AW110" i="1" s="1"/>
  <c r="AR127" i="1" l="1"/>
  <c r="AR129" i="1" s="1"/>
  <c r="AQ129" i="1"/>
  <c r="AU123" i="1"/>
  <c r="AT125" i="1"/>
  <c r="AT127" i="1" s="1"/>
  <c r="AT129" i="1" s="1"/>
  <c r="AV123" i="1" l="1"/>
  <c r="AU125" i="1"/>
  <c r="AU127" i="1" s="1"/>
  <c r="AU129" i="1" s="1"/>
  <c r="AW123" i="1" l="1"/>
  <c r="AV125" i="1"/>
  <c r="AW125" i="1" l="1"/>
  <c r="AV127" i="1"/>
  <c r="AW127" i="1" l="1"/>
  <c r="AW129" i="1" s="1"/>
  <c r="AV129" i="1"/>
</calcChain>
</file>

<file path=xl/sharedStrings.xml><?xml version="1.0" encoding="utf-8"?>
<sst xmlns="http://schemas.openxmlformats.org/spreadsheetml/2006/main" count="1099" uniqueCount="396">
  <si>
    <t>Adjusted Income Statement</t>
  </si>
  <si>
    <t>Q1 2014</t>
  </si>
  <si>
    <t>Q2 2014</t>
  </si>
  <si>
    <t>Q3 2014</t>
  </si>
  <si>
    <t>Q4 2014</t>
  </si>
  <si>
    <t>Q1 2015</t>
  </si>
  <si>
    <t>Q3 2015</t>
  </si>
  <si>
    <t>Q2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</si>
  <si>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</si>
  <si>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</si>
  <si>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</si>
  <si>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</si>
  <si>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</si>
  <si>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</si>
  <si>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</si>
  <si>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</si>
  <si>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</si>
  <si>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</si>
  <si>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</si>
  <si>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</si>
  <si>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</si>
  <si>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</si>
  <si>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</si>
  <si>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</si>
  <si>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</si>
  <si>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</si>
  <si>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</si>
  <si>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Q3 2020</t>
  </si>
  <si>
    <t>Q4 2020</t>
  </si>
  <si>
    <t>Q1 2021</t>
  </si>
  <si>
    <t>Q2 2021</t>
  </si>
  <si>
    <t>Q3 2021</t>
  </si>
  <si>
    <t>Q4 2021</t>
  </si>
  <si>
    <t>Q1 2022</t>
  </si>
  <si>
    <t>Q2 2022</t>
  </si>
  <si>
    <t>Q3 2022</t>
  </si>
  <si>
    <t>Q4 2022</t>
  </si>
  <si>
    <t>FY 2014</t>
  </si>
  <si>
    <t>FY 2015</t>
  </si>
  <si>
    <t>FY 2016</t>
  </si>
  <si>
    <t>FY 2017</t>
  </si>
  <si>
    <t>FY 2018</t>
  </si>
  <si>
    <t>FY 2021</t>
  </si>
  <si>
    <t>FY 2020</t>
  </si>
  <si>
    <t>FY 2019</t>
  </si>
  <si>
    <t>FY 2022</t>
  </si>
  <si>
    <t>Reported Income Statement</t>
  </si>
  <si>
    <t>Balance Sheet</t>
  </si>
  <si>
    <t>Cash Flow Statement</t>
  </si>
  <si>
    <t>Cash &amp; equivalents</t>
  </si>
  <si>
    <t>Accounts receivable</t>
  </si>
  <si>
    <t>Inventories</t>
  </si>
  <si>
    <t>Other current assets</t>
  </si>
  <si>
    <t>Total current assets</t>
  </si>
  <si>
    <t>Property, plant, equipment</t>
  </si>
  <si>
    <t>Other assets</t>
  </si>
  <si>
    <t>Total assets</t>
  </si>
  <si>
    <t>Current portion of debt</t>
  </si>
  <si>
    <t>Accounts payable</t>
  </si>
  <si>
    <t>Accrued payroll</t>
  </si>
  <si>
    <t>Other current liabilities</t>
  </si>
  <si>
    <t>Total current liabilities</t>
  </si>
  <si>
    <t>Long-term debt, net of current</t>
  </si>
  <si>
    <t>Other liabilities</t>
  </si>
  <si>
    <t>Common stock</t>
  </si>
  <si>
    <t>Retained earnings</t>
  </si>
  <si>
    <t>Accumulated other comprehensive income</t>
  </si>
  <si>
    <t>Total shareholder's equity</t>
  </si>
  <si>
    <t>Treasury stock, at cost</t>
  </si>
  <si>
    <t>Total liabilities and shareholder's equity</t>
  </si>
  <si>
    <t>Balance check</t>
  </si>
  <si>
    <t>Noncontrolling interests</t>
  </si>
  <si>
    <t>Goodwill</t>
  </si>
  <si>
    <t>Other intangible assets</t>
  </si>
  <si>
    <t>-</t>
  </si>
  <si>
    <t>Net sales</t>
  </si>
  <si>
    <t>Cost of sales</t>
  </si>
  <si>
    <t>Gross profit</t>
  </si>
  <si>
    <t>Selling, general, administrative expenses</t>
  </si>
  <si>
    <t>Intangible amortization</t>
  </si>
  <si>
    <t xml:space="preserve">Interest </t>
  </si>
  <si>
    <t>Other charges (income)</t>
  </si>
  <si>
    <t>Taxes</t>
  </si>
  <si>
    <t>Net income</t>
  </si>
  <si>
    <t>Earnings per share</t>
  </si>
  <si>
    <t>Basic</t>
  </si>
  <si>
    <t>Diluted</t>
  </si>
  <si>
    <t>WASO (Basic)</t>
  </si>
  <si>
    <t>WASO (Diluted)</t>
  </si>
  <si>
    <t>Restructuring charge</t>
  </si>
  <si>
    <t>Depreciation, amortization, other impairment</t>
  </si>
  <si>
    <t>Changes in operating working capital</t>
  </si>
  <si>
    <t>Net cash from operating activites</t>
  </si>
  <si>
    <t>Purchase of propety &amp; equipment</t>
  </si>
  <si>
    <t>Acquisition of business, net of cash</t>
  </si>
  <si>
    <t>Proceeds from disposition of PP&amp;E</t>
  </si>
  <si>
    <t>Proceeds from divestiture of business</t>
  </si>
  <si>
    <t>Net cash used in investing activities</t>
  </si>
  <si>
    <t>Proceeds from bank borrowing and debt</t>
  </si>
  <si>
    <t>Repayents of bank borrowings, LT debt, capital lease</t>
  </si>
  <si>
    <t>Payments for repurchases of ordinary shares</t>
  </si>
  <si>
    <t>Net proceeds from issuance of ordinary shares</t>
  </si>
  <si>
    <t>Other financing activities, net</t>
  </si>
  <si>
    <t>Net cash used in financing activities</t>
  </si>
  <si>
    <t>Cash &amp; equivalents, beginning of period</t>
  </si>
  <si>
    <t>Cash &amp; equivalents, end of period</t>
  </si>
  <si>
    <t>Other investing activities</t>
  </si>
  <si>
    <t>Net change in cash</t>
  </si>
  <si>
    <t xml:space="preserve"> -  </t>
  </si>
  <si>
    <t>Effect of exchange rates on cash</t>
  </si>
  <si>
    <t>Scenario Analysis</t>
  </si>
  <si>
    <t>Revenue Assumptions</t>
  </si>
  <si>
    <t>CEC</t>
  </si>
  <si>
    <t>CTG</t>
  </si>
  <si>
    <t>Bear</t>
  </si>
  <si>
    <t xml:space="preserve">Base </t>
  </si>
  <si>
    <t>Bull</t>
  </si>
  <si>
    <t>IEI</t>
  </si>
  <si>
    <t>HRS</t>
  </si>
  <si>
    <t>Operating Margin Assumptions</t>
  </si>
  <si>
    <t>Revenue Build</t>
  </si>
  <si>
    <t>Segment Detail</t>
  </si>
  <si>
    <t>Total Revenue</t>
  </si>
  <si>
    <t>Revenue</t>
  </si>
  <si>
    <t>Segment Reporting (from 2016-onwards)</t>
  </si>
  <si>
    <t>Operating Margin</t>
  </si>
  <si>
    <t>Operating Profit</t>
  </si>
  <si>
    <t>Combined Results</t>
  </si>
  <si>
    <t>Interest</t>
  </si>
  <si>
    <t>EBT</t>
  </si>
  <si>
    <t>EPS (basic)</t>
  </si>
  <si>
    <t>EPS (diluted)</t>
  </si>
  <si>
    <t>Tax rate</t>
  </si>
  <si>
    <t>Gross margin</t>
  </si>
  <si>
    <t>Net profit margin</t>
  </si>
  <si>
    <t>Revenue growth % y/y</t>
  </si>
  <si>
    <t>EPS growth % y/y</t>
  </si>
  <si>
    <t>EBIT margin</t>
  </si>
  <si>
    <t>EBIT (operating profit)</t>
  </si>
  <si>
    <t>Intangible amortization % sales</t>
  </si>
  <si>
    <t>Balance Sheet Metrics</t>
  </si>
  <si>
    <t>Period Days</t>
  </si>
  <si>
    <t>Days Receivable</t>
  </si>
  <si>
    <t>Days Inventory</t>
  </si>
  <si>
    <t>Days Payable</t>
  </si>
  <si>
    <t>Depreciation, amortization % sales</t>
  </si>
  <si>
    <t>CAPEX % sales</t>
  </si>
  <si>
    <t>SG&amp;A % sales</t>
  </si>
  <si>
    <t>NTM EV / Forward Unlevered FCF</t>
  </si>
  <si>
    <t>NTM EV / Forward EBITDA</t>
  </si>
  <si>
    <t>TV as % of Enterprise Value</t>
  </si>
  <si>
    <t>Upside (Downside)</t>
  </si>
  <si>
    <t>Implied Share Price</t>
  </si>
  <si>
    <t>Diluted Shares Outstanding</t>
  </si>
  <si>
    <t>WACC</t>
  </si>
  <si>
    <t>Implied Upside (Downside)</t>
  </si>
  <si>
    <t>Implied Equity Value</t>
  </si>
  <si>
    <t>D / V</t>
  </si>
  <si>
    <t>Plus: Cash</t>
  </si>
  <si>
    <t>E / V</t>
  </si>
  <si>
    <t>Less: Debt</t>
  </si>
  <si>
    <t>Enterprise Value</t>
  </si>
  <si>
    <t>Cost of Debt</t>
  </si>
  <si>
    <t>PV of FCFs</t>
  </si>
  <si>
    <t>Cost of Equity</t>
  </si>
  <si>
    <t>PV of Terminal Value</t>
  </si>
  <si>
    <t>Expected Market Return</t>
  </si>
  <si>
    <t>Terminal Value</t>
  </si>
  <si>
    <t>Beta</t>
  </si>
  <si>
    <t>Perpetuity Growth Rate</t>
  </si>
  <si>
    <t>Risk-Free Rate</t>
  </si>
  <si>
    <t>WACC CALCULATION</t>
  </si>
  <si>
    <t>PERPETUITY GROWTH METHOD</t>
  </si>
  <si>
    <t>NTM EBITDA</t>
  </si>
  <si>
    <t>Implied Perpetuity Growth Rate</t>
  </si>
  <si>
    <t>Cash and equivalents</t>
  </si>
  <si>
    <t>Book Value of Debt</t>
  </si>
  <si>
    <t>NTM EV / EV Forward Unlevered FCF</t>
  </si>
  <si>
    <t>Market Capitalization</t>
  </si>
  <si>
    <t>Current Share Price</t>
  </si>
  <si>
    <t>MODEL INPUTS</t>
  </si>
  <si>
    <t>Present Value of FCFs</t>
  </si>
  <si>
    <t>Free Cash Flow</t>
  </si>
  <si>
    <t>EXIT MULTIPLE METHOD (EV/UFCF)</t>
  </si>
  <si>
    <t>Δ Net operating working capital</t>
  </si>
  <si>
    <t>Purchases of property and equipment</t>
  </si>
  <si>
    <t>Depreciation and amortization</t>
  </si>
  <si>
    <t>NOPAT</t>
  </si>
  <si>
    <t>Tax Expense</t>
  </si>
  <si>
    <t>EBIT</t>
  </si>
  <si>
    <t>($ in USD 000s)</t>
  </si>
  <si>
    <t>Discount Factor</t>
  </si>
  <si>
    <t>EXIT MULTIPLE METHOD (EV/EBITDA)</t>
  </si>
  <si>
    <t>FREE CASH FLOW PROJECTION</t>
  </si>
  <si>
    <t>EBT growth % y/y</t>
  </si>
  <si>
    <t>EBITDA</t>
  </si>
  <si>
    <t>Years Ending December 31st</t>
  </si>
  <si>
    <t>Firm</t>
  </si>
  <si>
    <t>Price/Book</t>
  </si>
  <si>
    <t>Price/Sales</t>
  </si>
  <si>
    <t>PEG</t>
  </si>
  <si>
    <t>Gross Margin</t>
  </si>
  <si>
    <t>Net Income Margin</t>
  </si>
  <si>
    <t>Jabil (JBL)</t>
  </si>
  <si>
    <t>Celestica (CLS)</t>
  </si>
  <si>
    <t>Plexus (PLXS)</t>
  </si>
  <si>
    <t>Benchmark Electronics (BHE)</t>
  </si>
  <si>
    <t>Quanta Services (PWR)</t>
  </si>
  <si>
    <t>IEC Electronics (IEC)</t>
  </si>
  <si>
    <t>SigmaTron International (SGMA)</t>
  </si>
  <si>
    <t>SMTC Corp (SMTX)</t>
  </si>
  <si>
    <t>TTM Technologies (TTMI)</t>
  </si>
  <si>
    <t>Hon Hai Precision Industries (HKG: 2038)</t>
  </si>
  <si>
    <t>Flex FLEX</t>
  </si>
  <si>
    <t>Average</t>
  </si>
  <si>
    <t>P/E (NTM)</t>
  </si>
  <si>
    <t xml:space="preserve">EV/EBITDA </t>
  </si>
  <si>
    <t>Fabrinet (FN)</t>
  </si>
  <si>
    <t>Sanmina (SANM)</t>
  </si>
  <si>
    <t>Figure 1</t>
  </si>
  <si>
    <t>FLEX Profile</t>
  </si>
  <si>
    <t>523.2 million shares</t>
  </si>
  <si>
    <t>OUTSTANDING SHARES</t>
  </si>
  <si>
    <t>MARKET CAPITALIZATION</t>
  </si>
  <si>
    <t>ENTERPRICE VALUE</t>
  </si>
  <si>
    <t>EV/EBITDA</t>
  </si>
  <si>
    <t>$</t>
  </si>
  <si>
    <t>$ billion</t>
  </si>
  <si>
    <t>7x</t>
  </si>
  <si>
    <t>Figure 2</t>
  </si>
  <si>
    <t>Valuation Analysis</t>
  </si>
  <si>
    <t xml:space="preserve">        PRICE</t>
  </si>
  <si>
    <t>METHOD</t>
  </si>
  <si>
    <t>WEIGHT</t>
  </si>
  <si>
    <t>DCF</t>
  </si>
  <si>
    <t xml:space="preserve">                                      WEIGHT</t>
  </si>
  <si>
    <t>UPSIDE RETURN</t>
  </si>
  <si>
    <t>2018 DIVIDENDS</t>
  </si>
  <si>
    <t>TOTAL 12 MONTH RETURN</t>
  </si>
  <si>
    <t>12 MONTH TARGET</t>
  </si>
  <si>
    <t>Figure 3</t>
  </si>
  <si>
    <t>Major Shareholders</t>
  </si>
  <si>
    <t>FIRM</t>
  </si>
  <si>
    <t>ROBECO INVESTMENT MGMT</t>
  </si>
  <si>
    <t>PRIMECAP MGMG CO</t>
  </si>
  <si>
    <t>GLENVIEW CAP MGMT</t>
  </si>
  <si>
    <t>CAPITAL RESEARCH GLOBAL INVESTORS</t>
  </si>
  <si>
    <t>HHG PLC</t>
  </si>
  <si>
    <t>JANUS CAP MGMT</t>
  </si>
  <si>
    <t>WELLINGTON MGMT CO</t>
  </si>
  <si>
    <t>LYRICAL ASSET MGMT</t>
  </si>
  <si>
    <t>IRIDIAN ASSET MGMT</t>
  </si>
  <si>
    <t>VICTORY CAPITAL MGMT</t>
  </si>
  <si>
    <t>TOP 10 INSTITUTIONS</t>
  </si>
  <si>
    <t xml:space="preserve">       </t>
  </si>
  <si>
    <t xml:space="preserve">% TOTAL </t>
  </si>
  <si>
    <t>Figure 4</t>
  </si>
  <si>
    <t>MUTUAL FUNDS</t>
  </si>
  <si>
    <t>HEDGE FUNDS</t>
  </si>
  <si>
    <t>INSIDERS</t>
  </si>
  <si>
    <t>FIRM TYPE</t>
  </si>
  <si>
    <t>Figure 5</t>
  </si>
  <si>
    <t>Distribution of shareholder types</t>
  </si>
  <si>
    <t>Figure 6</t>
  </si>
  <si>
    <t>List of Board of Directors</t>
  </si>
  <si>
    <t>Michael Capellas</t>
  </si>
  <si>
    <t>Mike McNamara</t>
  </si>
  <si>
    <t>Marc Onetto</t>
  </si>
  <si>
    <t>Daniel Schulman</t>
  </si>
  <si>
    <t>Willy Shih</t>
  </si>
  <si>
    <t>Lay Tan</t>
  </si>
  <si>
    <t>William Watkins</t>
  </si>
  <si>
    <t>Lawrence Zimmerman</t>
  </si>
  <si>
    <t>Figure 7</t>
  </si>
  <si>
    <t>List of Executive Officers</t>
  </si>
  <si>
    <t>Figure 8</t>
  </si>
  <si>
    <t>Porter's 5 Forces Analysis Diagram</t>
  </si>
  <si>
    <t>Rivalry WITHIN THE INDUSTRY</t>
  </si>
  <si>
    <t>THREAT OF NEW ENTRANTS</t>
  </si>
  <si>
    <t>BARGAINING POWER OF CUSTOMERS</t>
  </si>
  <si>
    <t>THREAT OF SUBSTITUTES</t>
  </si>
  <si>
    <t>BARGAINING POWER OF SUPPLIERS</t>
  </si>
  <si>
    <t>Legend</t>
  </si>
  <si>
    <t>0 No threat</t>
  </si>
  <si>
    <t>1 Very low</t>
  </si>
  <si>
    <t>2 Low</t>
  </si>
  <si>
    <t>3 Moderate</t>
  </si>
  <si>
    <t>4 High</t>
  </si>
  <si>
    <t>5 Very High</t>
  </si>
  <si>
    <t>Outer</t>
  </si>
  <si>
    <t>Next</t>
  </si>
  <si>
    <t>Data</t>
  </si>
  <si>
    <t>Figure 9</t>
  </si>
  <si>
    <t>SWOT Analysis Diagram</t>
  </si>
  <si>
    <t>Figure 10</t>
  </si>
  <si>
    <t>Risk Matrix Diagram</t>
  </si>
  <si>
    <t>Figure 11</t>
  </si>
  <si>
    <t>Historical &amp; Projected EPS</t>
  </si>
  <si>
    <t>Figure 12</t>
  </si>
  <si>
    <t>Historical &amp; Projected Revenue</t>
  </si>
  <si>
    <t>Mike McNamara (CEO)</t>
  </si>
  <si>
    <t>Year</t>
  </si>
  <si>
    <t>% Growth</t>
  </si>
  <si>
    <t>EPS</t>
  </si>
  <si>
    <t xml:space="preserve">FLEX premium (discount) vs Average </t>
  </si>
  <si>
    <t>Comps Analysis</t>
  </si>
  <si>
    <t>Paul Humprhies (HRS)</t>
  </si>
  <si>
    <t xml:space="preserve">                   Carline Dowling (CEC)</t>
  </si>
  <si>
    <t>Fei Liu (President, Asia)</t>
  </si>
  <si>
    <t>Christopher Collier (CFO)</t>
  </si>
  <si>
    <t>Mike Dennison (CTG)</t>
  </si>
  <si>
    <t>Francois Barbier (Ops)</t>
  </si>
  <si>
    <t>Doug Britt (IEI)</t>
  </si>
  <si>
    <t>Ruvi Shaibel (Strategy)</t>
  </si>
  <si>
    <t>Scott Offer (Gen Counsel)</t>
  </si>
  <si>
    <t>N/A</t>
  </si>
  <si>
    <t>Valuation Date</t>
  </si>
  <si>
    <t>Current Price</t>
  </si>
  <si>
    <t>Ticker</t>
  </si>
  <si>
    <t>January 15th, 2018</t>
  </si>
  <si>
    <t xml:space="preserve">$ </t>
  </si>
  <si>
    <t>FLEX</t>
  </si>
  <si>
    <t>Recommendation</t>
  </si>
  <si>
    <t>Target Price</t>
  </si>
  <si>
    <t>Upside</t>
  </si>
  <si>
    <t>BUY</t>
  </si>
  <si>
    <t>Stock Exchange</t>
  </si>
  <si>
    <t>Sector</t>
  </si>
  <si>
    <t>Industry</t>
  </si>
  <si>
    <t>NASDAQ</t>
  </si>
  <si>
    <t>Technology</t>
  </si>
  <si>
    <t>Electronic Manufacturing Services</t>
  </si>
  <si>
    <t>STOCK PRICE (1/15/2018)</t>
  </si>
  <si>
    <t>Tax Rate (effective)</t>
  </si>
  <si>
    <t>Present Value</t>
  </si>
  <si>
    <t>Operating Margin % (by segment)</t>
  </si>
  <si>
    <t>Name/Title</t>
  </si>
  <si>
    <t>Michael McNamara / CEO</t>
  </si>
  <si>
    <t>Christopher Collier / CFO</t>
  </si>
  <si>
    <t>Paul Humphries / High Reliability Solutions</t>
  </si>
  <si>
    <t>Key Executive Compenation ($ millions)</t>
  </si>
  <si>
    <t>Scott Offer / EVP &amp; General Counsel</t>
  </si>
  <si>
    <t xml:space="preserve">                                                       Francois Barbier / Global Operations </t>
  </si>
  <si>
    <t>Quarter</t>
  </si>
  <si>
    <t>ROIC</t>
  </si>
  <si>
    <t>% Share of total cost</t>
  </si>
  <si>
    <t>Electronics as % new car cost</t>
  </si>
  <si>
    <t>Source: Statista</t>
  </si>
  <si>
    <t xml:space="preserve">Medical Device Spend </t>
  </si>
  <si>
    <t>CAGR</t>
  </si>
  <si>
    <t>Bearish</t>
  </si>
  <si>
    <t>Base</t>
  </si>
  <si>
    <t>Bullish</t>
  </si>
  <si>
    <t>Scenario</t>
  </si>
  <si>
    <t>Price Target</t>
  </si>
  <si>
    <t xml:space="preserve">   Weight</t>
  </si>
  <si>
    <t>PTxW</t>
  </si>
  <si>
    <t>Alternative Valuation Analysis</t>
  </si>
  <si>
    <t xml:space="preserve">             Expected Value</t>
  </si>
  <si>
    <t>TTM Revenue, Millions</t>
  </si>
  <si>
    <t>Estimated % of Total Market Share</t>
  </si>
  <si>
    <t>EMS Aggregate Market Size</t>
  </si>
  <si>
    <t>Comp Set</t>
  </si>
  <si>
    <t>Rest of Market</t>
  </si>
  <si>
    <t>Days Receivable Index (DSRI)</t>
  </si>
  <si>
    <t>Gross Margin Index (GMI)</t>
  </si>
  <si>
    <t>Asset Quality Index (AQI)</t>
  </si>
  <si>
    <t>Sales Growth Index (SGI)</t>
  </si>
  <si>
    <t>Depreciation Index (DEPI) </t>
  </si>
  <si>
    <t>SG&amp;A Expense Index (SGAI) </t>
  </si>
  <si>
    <t>Leverage index (LVGI) </t>
  </si>
  <si>
    <t>Total Accruals to Total Assets (TATA)</t>
  </si>
  <si>
    <t>M Score</t>
  </si>
  <si>
    <t>M Score Calculation</t>
  </si>
  <si>
    <t>Strengths</t>
  </si>
  <si>
    <t>Dominant share of the EMS market</t>
  </si>
  <si>
    <t xml:space="preserve">Unique competitive advantages including its Industrial Parks </t>
  </si>
  <si>
    <t>Extensive state-of-the-art technology</t>
  </si>
  <si>
    <t>Well-diversified revenues from numerous distinct end market and ;ow dependence on any single key customer</t>
  </si>
  <si>
    <t>Focus on expanding into emerging end markets and adopting new technology as it becomes available</t>
  </si>
  <si>
    <t>Vertically integrated production of some subcomponents &amp; components used in the manufacturing of final goods</t>
  </si>
  <si>
    <t xml:space="preserve">Global footprint that gives it worldwide design, engineering, and manufacturing capabilities </t>
  </si>
  <si>
    <t>Advantageous pricing as a result of robust and expansive supply chain networks</t>
  </si>
  <si>
    <t>Weaknesses</t>
  </si>
  <si>
    <t>Overly dependent on international revenues: Approximately 89% of all 2017 fiscal year revenue was generated outside of the US, with 30% generated in China alone</t>
  </si>
  <si>
    <t xml:space="preserve">Dependent on sole suppliers of certain parts </t>
  </si>
  <si>
    <t>Exposed to high bargaining power of customers in certain end markets, especially those with high volume, low complexity products</t>
  </si>
  <si>
    <t>Opportunities</t>
  </si>
  <si>
    <t>Penetrate the growing automotive electronics industry through leveraging its extensive experience in traditional EMS markets such as servers</t>
  </si>
  <si>
    <t>Grow its existing presence in high margin end markets such as medical electronics, aerospace, and defense which have high barriers to entry</t>
  </si>
  <si>
    <t>Increase automation to further mitigate labor expenses and expand margins</t>
  </si>
  <si>
    <t>Threats</t>
  </si>
  <si>
    <t>Aggressive competition from other EMS companies and Taiwanese ODMs</t>
  </si>
  <si>
    <t>Slowdown in global economy that lowers demand for Flex’s services</t>
  </si>
  <si>
    <t>Regulatory changes that harm Flex’s ability to conduct business in certain geographic regions or end markets</t>
  </si>
  <si>
    <t>Impairment of one or more key customer relationships that results in diminished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</si>
</sst>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#,##0.0_);\(#,##0.0\)"/>
    <numFmt numFmtId="166" formatCode="0.0\x;\(0.0\x\);\—"/>
    <numFmt numFmtId="167" formatCode="&quot;$&quot;#,###.00;\(&quot;$&quot;#,###.00\);\—"/>
    <numFmt numFmtId="168" formatCode="#,##0;\(#,##0\);\—"/>
    <numFmt numFmtId="169" formatCode="&quot;$&quot;#,##0;\(&quot;$&quot;#,##0\);\—"/>
    <numFmt numFmtId="170" formatCode="&quot;$&quot;#,###;\(&quot;$&quot;#,###\);\—"/>
    <numFmt numFmtId="171" formatCode="&quot;$&quot;#,##0.0_);\(&quot;$&quot;#,##0.0\)"/>
    <numFmt numFmtId="172" formatCode="0000&quot;E&quot;"/>
    <numFmt numFmtId="173" formatCode="0.0"/>
    <numFmt numFmtId="174" formatCode="0.0_);\(0.0\)"/>
    <numFmt numFmtId="175" formatCode="&quot;$&quot;#,##0.00"/>
  </numFmts>
  <fonts count="77">
    <font>
      <sz val="11"/>
      <color theme="1"/>
      <name val="DengXian"/>
      <family val="2"/>
      <scheme val="minor"/>
    </font>
    <font>
      <b/>
      <sz val="11"/>
      <color theme="0"/>
      <name val="DengXian"/>
      <family val="2"/>
      <scheme val="minor"/>
    </font>
    <font>
      <sz val="11"/>
      <color theme="4"/>
      <name val="DengXian"/>
      <family val="2"/>
      <scheme val="minor"/>
    </font>
    <font>
      <sz val="11"/>
      <color rgb="FF000000"/>
      <name val="Calibri"/>
      <family val="2"/>
    </font>
    <font>
      <b/>
      <sz val="11"/>
      <color theme="3"/>
      <name val="DengXian"/>
      <family val="2"/>
      <scheme val="minor"/>
    </font>
    <font>
      <sz val="11"/>
      <color theme="0"/>
      <name val="DengXian"/>
      <family val="2"/>
      <scheme val="minor"/>
    </font>
    <font>
      <i/>
      <sz val="11"/>
      <color theme="1"/>
      <name val="DengXian"/>
      <family val="2"/>
      <scheme val="minor"/>
    </font>
    <font>
      <b/>
      <sz val="11"/>
      <color theme="4"/>
      <name val="DengXian"/>
      <family val="2"/>
      <scheme val="minor"/>
    </font>
    <font>
      <b/>
      <i/>
      <sz val="11"/>
      <color theme="1"/>
      <name val="DengXian"/>
      <family val="2"/>
      <scheme val="minor"/>
    </font>
    <font>
      <b/>
      <i/>
      <sz val="11"/>
      <color theme="4"/>
      <name val="DengXian"/>
      <family val="2"/>
      <scheme val="minor"/>
    </font>
    <font>
      <b/>
      <i/>
      <sz val="11"/>
      <color rgb="FFFF0000"/>
      <name val="DengXian"/>
      <family val="2"/>
      <scheme val="minor"/>
    </font>
    <font>
      <b/>
      <sz val="11"/>
      <color rgb="FFFF0000"/>
      <name val="DengXian"/>
      <family val="2"/>
      <scheme val="minor"/>
    </font>
    <font>
      <b/>
      <i/>
      <sz val="11"/>
      <color theme="0"/>
      <name val="DengXian"/>
      <family val="2"/>
      <scheme val="minor"/>
    </font>
    <font>
      <b/>
      <sz val="11"/>
      <color theme="1"/>
      <name val="DengXian"/>
      <family val="2"/>
      <scheme val="minor"/>
    </font>
    <font>
      <sz val="11"/>
      <color rgb="FF00B050"/>
      <name val="DengXian"/>
      <family val="2"/>
      <scheme val="minor"/>
    </font>
    <font>
      <sz val="12"/>
      <color theme="1"/>
      <name val="DengXian"/>
      <family val="2"/>
      <scheme val="minor"/>
    </font>
    <font>
      <sz val="12"/>
      <color theme="1"/>
      <name val="Book Antiqua"/>
      <family val="1"/>
    </font>
    <font>
      <b/>
      <sz val="12"/>
      <name val="Book Antiqua"/>
      <family val="1"/>
    </font>
    <font>
      <b/>
      <sz val="12"/>
      <color theme="1"/>
      <name val="Book Antiqua"/>
      <family val="1"/>
    </font>
    <font>
      <sz val="12"/>
      <color theme="0"/>
      <name val="Book Antiqua"/>
      <family val="1"/>
    </font>
    <font>
      <b/>
      <u/>
      <sz val="12"/>
      <color theme="1"/>
      <name val="Book Antiqua"/>
      <family val="1"/>
    </font>
    <font>
      <b/>
      <sz val="12"/>
      <color theme="3"/>
      <name val="Book Antiqua"/>
      <family val="1"/>
    </font>
    <font>
      <sz val="12"/>
      <color theme="3"/>
      <name val="Book Antiqua"/>
      <family val="1"/>
    </font>
    <font>
      <b/>
      <sz val="12"/>
      <color theme="0"/>
      <name val="Consolas"/>
      <family val="3"/>
    </font>
    <font>
      <sz val="12"/>
      <color theme="4"/>
      <name val="Book Antiqua"/>
      <family val="1"/>
    </font>
    <font>
      <sz val="12"/>
      <name val="Book Antiqua"/>
      <family val="1"/>
    </font>
    <font>
      <sz val="10"/>
      <name val="Arial"/>
      <family val="2"/>
    </font>
    <font>
      <i/>
      <sz val="12"/>
      <color theme="3"/>
      <name val="Book Antiqua"/>
      <family val="1"/>
    </font>
    <font>
      <b/>
      <sz val="10"/>
      <color indexed="53"/>
      <name val="Book Antiqua"/>
      <family val="1"/>
    </font>
    <font>
      <b/>
      <sz val="10"/>
      <name val="Book Antiqua"/>
      <family val="1"/>
    </font>
    <font>
      <b/>
      <sz val="14"/>
      <color theme="0"/>
      <name val="Book Antiqua"/>
      <family val="1"/>
    </font>
    <font>
      <i/>
      <sz val="12"/>
      <color theme="0"/>
      <name val="Book Antiqua"/>
      <family val="1"/>
    </font>
    <font>
      <b/>
      <sz val="12"/>
      <color theme="4"/>
      <name val="Book Antiqua"/>
      <family val="1"/>
    </font>
    <font>
      <sz val="11"/>
      <color theme="1"/>
      <name val="Book Antiqua"/>
      <family val="1"/>
    </font>
    <font>
      <b/>
      <sz val="11"/>
      <color theme="0"/>
      <name val="Book Antiqua"/>
      <family val="1"/>
    </font>
    <font>
      <b/>
      <sz val="11"/>
      <color theme="1"/>
      <name val="Book Antiqua"/>
      <family val="1"/>
    </font>
    <font>
      <b/>
      <sz val="11"/>
      <color theme="4"/>
      <name val="Book Antiqua"/>
      <family val="1"/>
    </font>
    <font>
      <sz val="11"/>
      <color theme="4"/>
      <name val="Book Antiqua"/>
      <family val="1"/>
    </font>
    <font>
      <b/>
      <sz val="11"/>
      <name val="Book Antiqua"/>
      <family val="1"/>
    </font>
    <font>
      <sz val="11"/>
      <color rgb="FFFF0000"/>
      <name val="Book Antiqua"/>
      <family val="1"/>
    </font>
    <font>
      <sz val="11"/>
      <color theme="0"/>
      <name val="Book Antiqua"/>
      <family val="1"/>
    </font>
    <font>
      <b/>
      <i/>
      <sz val="11"/>
      <color theme="1"/>
      <name val="Book Antiqua"/>
      <family val="1"/>
    </font>
    <font>
      <b/>
      <i/>
      <sz val="11"/>
      <color theme="4"/>
      <name val="Book Antiqua"/>
      <family val="1"/>
    </font>
    <font>
      <i/>
      <sz val="11"/>
      <color theme="1"/>
      <name val="Book Antiqua"/>
      <family val="1"/>
    </font>
    <font>
      <i/>
      <sz val="11"/>
      <color theme="4"/>
      <name val="Book Antiqua"/>
      <family val="1"/>
    </font>
    <font>
      <i/>
      <sz val="11"/>
      <color rgb="FFFF0000"/>
      <name val="Book Antiqua"/>
      <family val="1"/>
    </font>
    <font>
      <i/>
      <sz val="11"/>
      <name val="Book Antiqua"/>
      <family val="1"/>
    </font>
    <font>
      <sz val="11"/>
      <name val="Book Antiqua"/>
      <family val="1"/>
    </font>
    <font>
      <b/>
      <sz val="11"/>
      <color rgb="FF0070C0"/>
      <name val="DengXian"/>
      <family val="2"/>
      <scheme val="minor"/>
    </font>
    <font>
      <sz val="11"/>
      <color theme="1" tint="0.499984740745262"/>
      <name val="DengXian"/>
      <family val="2"/>
      <scheme val="minor"/>
    </font>
    <font>
      <sz val="11"/>
      <color theme="1" tint="0.14999847407452621"/>
      <name val="DengXian"/>
      <family val="2"/>
      <scheme val="minor"/>
    </font>
    <font>
      <sz val="11"/>
      <color rgb="FF0070C0"/>
      <name val="DengXian"/>
      <family val="2"/>
      <scheme val="minor"/>
    </font>
    <font>
      <b/>
      <sz val="10"/>
      <color theme="0" tint="-0.34998626667073579"/>
      <name val="DengXian"/>
      <family val="2"/>
      <scheme val="minor"/>
    </font>
    <font>
      <sz val="10"/>
      <color theme="1"/>
      <name val="DengXian"/>
      <family val="2"/>
      <scheme val="minor"/>
    </font>
    <font>
      <b/>
      <sz val="10"/>
      <color theme="0"/>
      <name val="DengXian"/>
      <family val="2"/>
      <scheme val="minor"/>
    </font>
    <font>
      <b/>
      <sz val="8"/>
      <color theme="0"/>
      <name val="DengXian"/>
      <family val="2"/>
      <scheme val="minor"/>
    </font>
    <font>
      <sz val="8"/>
      <color theme="1"/>
      <name val="DengXian"/>
      <family val="2"/>
      <scheme val="minor"/>
    </font>
    <font>
      <sz val="10"/>
      <color theme="0"/>
      <name val="DengXian"/>
      <family val="2"/>
      <scheme val="minor"/>
    </font>
    <font>
      <sz val="8"/>
      <color theme="0"/>
      <name val="DengXian"/>
      <family val="2"/>
      <scheme val="minor"/>
    </font>
    <font>
      <b/>
      <sz val="10"/>
      <color theme="1"/>
      <name val="DengXian"/>
      <family val="2"/>
      <scheme val="minor"/>
    </font>
    <font>
      <b/>
      <sz val="11"/>
      <color theme="1" tint="0.14999847407452621"/>
      <name val="DengXian"/>
      <family val="2"/>
      <scheme val="minor"/>
    </font>
    <font>
      <sz val="8"/>
      <color theme="1" tint="0.499984740745262"/>
      <name val="DengXian"/>
      <family val="2"/>
      <scheme val="minor"/>
    </font>
    <font>
      <sz val="8"/>
      <color theme="0" tint="-0.499984740745262"/>
      <name val="DengXian"/>
      <family val="2"/>
      <scheme val="minor"/>
    </font>
    <font>
      <b/>
      <i/>
      <sz val="11"/>
      <color theme="3"/>
      <name val="DengXian"/>
      <family val="2"/>
      <scheme val="minor"/>
    </font>
    <font>
      <b/>
      <sz val="9"/>
      <color theme="0"/>
      <name val="DengXian"/>
      <family val="2"/>
      <scheme val="minor"/>
    </font>
    <font>
      <sz val="9"/>
      <color theme="1"/>
      <name val="DengXian"/>
      <family val="2"/>
      <scheme val="minor"/>
    </font>
    <font>
      <b/>
      <sz val="12"/>
      <color theme="0"/>
      <name val="Book Antiqua"/>
      <family val="1"/>
    </font>
    <font>
      <i/>
      <sz val="8"/>
      <color theme="1"/>
      <name val="DengXian"/>
      <family val="2"/>
      <scheme val="minor"/>
    </font>
    <font>
      <i/>
      <sz val="9"/>
      <color theme="1"/>
      <name val="DengXian"/>
      <family val="2"/>
      <scheme val="minor"/>
    </font>
    <font>
      <b/>
      <sz val="9"/>
      <color theme="1"/>
      <name val="DengXian"/>
      <family val="2"/>
      <scheme val="minor"/>
    </font>
    <font>
      <b/>
      <sz val="11"/>
      <color rgb="FF1F497D"/>
      <name val="DengXian"/>
      <family val="2"/>
      <scheme val="minor"/>
    </font>
    <font>
      <sz val="11"/>
      <color rgb="FF000000"/>
      <name val="DengXian"/>
      <family val="2"/>
      <scheme val="minor"/>
    </font>
    <font>
      <b/>
      <sz val="10"/>
      <color rgb="FF434343"/>
      <name val="Nunito"/>
    </font>
    <font>
      <sz val="10"/>
      <color rgb="FF434343"/>
      <name val="Nunito"/>
    </font>
    <font>
      <sz val="9"/>
      <name val="DengXian"/>
      <family val="2"/>
      <scheme val="minor"/>
    </font>
    <font>
      <u/>
      <sz val="11"/>
      <color theme="10"/>
      <name val="DengXian"/>
      <family val="2"/>
      <scheme val="minor"/>
    </font>
    <font>
      <u/>
      <sz val="11"/>
      <color theme="11"/>
      <name val="DengXian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50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theme="3"/>
      </right>
      <top/>
      <bottom style="hair">
        <color theme="3"/>
      </bottom>
      <diagonal/>
    </border>
    <border>
      <left/>
      <right/>
      <top/>
      <bottom style="hair">
        <color theme="3"/>
      </bottom>
      <diagonal/>
    </border>
    <border>
      <left style="hair">
        <color theme="3"/>
      </left>
      <right/>
      <top/>
      <bottom style="hair">
        <color theme="3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theme="3"/>
      </right>
      <top/>
      <bottom/>
      <diagonal/>
    </border>
    <border>
      <left style="hair">
        <color theme="3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hair">
        <color auto="1"/>
      </right>
      <top/>
      <bottom style="hair">
        <color theme="3"/>
      </bottom>
      <diagonal/>
    </border>
    <border>
      <left style="hair">
        <color auto="1"/>
      </left>
      <right/>
      <top/>
      <bottom style="hair">
        <color theme="3"/>
      </bottom>
      <diagonal/>
    </border>
    <border>
      <left/>
      <right/>
      <top/>
      <bottom style="hair">
        <color auto="1"/>
      </bottom>
      <diagonal/>
    </border>
    <border>
      <left/>
      <right style="hair">
        <color theme="3"/>
      </right>
      <top style="hair">
        <color theme="3"/>
      </top>
      <bottom/>
      <diagonal/>
    </border>
    <border>
      <left/>
      <right/>
      <top style="hair">
        <color theme="3"/>
      </top>
      <bottom/>
      <diagonal/>
    </border>
    <border>
      <left style="hair">
        <color theme="3"/>
      </left>
      <right/>
      <top style="hair">
        <color theme="3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theme="3"/>
      </left>
      <right/>
      <top/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theme="3"/>
      </left>
      <right/>
      <top/>
      <bottom style="thin">
        <color auto="1"/>
      </bottom>
      <diagonal/>
    </border>
    <border>
      <left/>
      <right style="thin">
        <color auto="1"/>
      </right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hair">
        <color theme="3"/>
      </right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 style="hair">
        <color theme="3"/>
      </left>
      <right/>
      <top/>
      <bottom style="medium">
        <color theme="8" tint="-0.249977111117893"/>
      </bottom>
      <diagonal/>
    </border>
    <border>
      <left/>
      <right style="hair">
        <color theme="3"/>
      </right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hair">
        <color theme="0" tint="-0.34998626667073579"/>
      </right>
      <top/>
      <bottom/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thin">
        <color indexed="15"/>
      </left>
      <right style="thin">
        <color indexed="14"/>
      </right>
      <top style="thin">
        <color indexed="15"/>
      </top>
      <bottom style="thin">
        <color indexed="14"/>
      </bottom>
      <diagonal/>
    </border>
    <border>
      <left style="thin">
        <color indexed="14"/>
      </left>
      <right style="thin">
        <color indexed="14"/>
      </right>
      <top style="thin">
        <color indexed="15"/>
      </top>
      <bottom style="thin">
        <color indexed="14"/>
      </bottom>
      <diagonal/>
    </border>
    <border>
      <left style="thin">
        <color indexed="15"/>
      </left>
      <right style="thin">
        <color indexed="14"/>
      </right>
      <top style="thin">
        <color indexed="14"/>
      </top>
      <bottom style="thin">
        <color indexed="14"/>
      </bottom>
      <diagonal/>
    </border>
    <border>
      <left style="thin">
        <color indexed="14"/>
      </left>
      <right style="thin">
        <color indexed="14"/>
      </right>
      <top style="thin">
        <color indexed="14"/>
      </top>
      <bottom style="thin">
        <color indexed="1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12">
    <xf numFmtId="0" fontId="0" fillId="0" borderId="0"/>
    <xf numFmtId="0" fontId="3" fillId="0" borderId="0">
      <alignment vertical="center"/>
    </xf>
    <xf numFmtId="0" fontId="15" fillId="0" borderId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26" fillId="0" borderId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</cellStyleXfs>
  <cellXfs count="549">
    <xf numFmtId="0" fontId="0" fillId="0" borderId="0" xfId="0"/>
    <xf numFmtId="0" fontId="0" fillId="0" borderId="0" xfId="0" applyAlignment="1">
      <alignment horizontal="center"/>
    </xf>
    <xf numFmtId="37" fontId="0" fillId="0" borderId="0" xfId="0" applyNumberFormat="1"/>
    <xf numFmtId="7" fontId="0" fillId="0" borderId="0" xfId="0" applyNumberFormat="1"/>
    <xf numFmtId="3" fontId="0" fillId="0" borderId="0" xfId="0" applyNumberForma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5" fillId="4" borderId="0" xfId="0" applyFont="1" applyFill="1"/>
    <xf numFmtId="5" fontId="0" fillId="0" borderId="0" xfId="0" applyNumberFormat="1"/>
    <xf numFmtId="5" fontId="1" fillId="3" borderId="0" xfId="0" applyNumberFormat="1" applyFont="1" applyFill="1" applyAlignment="1">
      <alignment horizontal="center"/>
    </xf>
    <xf numFmtId="5" fontId="1" fillId="5" borderId="0" xfId="0" applyNumberFormat="1" applyFont="1" applyFill="1" applyAlignment="1">
      <alignment horizontal="center"/>
    </xf>
    <xf numFmtId="5" fontId="1" fillId="6" borderId="0" xfId="0" applyNumberFormat="1" applyFont="1" applyFill="1" applyAlignment="1">
      <alignment horizontal="center"/>
    </xf>
    <xf numFmtId="5" fontId="1" fillId="7" borderId="0" xfId="0" applyNumberFormat="1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0" fontId="0" fillId="0" borderId="0" xfId="0" applyNumberFormat="1"/>
    <xf numFmtId="10" fontId="1" fillId="3" borderId="0" xfId="0" applyNumberFormat="1" applyFont="1" applyFill="1" applyAlignment="1">
      <alignment horizontal="center"/>
    </xf>
    <xf numFmtId="10" fontId="1" fillId="5" borderId="0" xfId="0" applyNumberFormat="1" applyFont="1" applyFill="1" applyAlignment="1">
      <alignment horizontal="center"/>
    </xf>
    <xf numFmtId="10" fontId="1" fillId="6" borderId="0" xfId="0" applyNumberFormat="1" applyFont="1" applyFill="1" applyAlignment="1">
      <alignment horizontal="center"/>
    </xf>
    <xf numFmtId="10" fontId="1" fillId="7" borderId="0" xfId="0" applyNumberFormat="1" applyFont="1" applyFill="1" applyAlignment="1">
      <alignment horizontal="center"/>
    </xf>
    <xf numFmtId="5" fontId="11" fillId="0" borderId="0" xfId="0" applyNumberFormat="1" applyFont="1"/>
    <xf numFmtId="0" fontId="11" fillId="0" borderId="0" xfId="0" applyFont="1"/>
    <xf numFmtId="10" fontId="11" fillId="0" borderId="0" xfId="0" applyNumberFormat="1" applyFont="1"/>
    <xf numFmtId="10" fontId="5" fillId="0" borderId="0" xfId="0" applyNumberFormat="1" applyFont="1"/>
    <xf numFmtId="164" fontId="0" fillId="0" borderId="0" xfId="0" applyNumberFormat="1"/>
    <xf numFmtId="164" fontId="10" fillId="0" borderId="0" xfId="0" applyNumberFormat="1" applyFont="1"/>
    <xf numFmtId="0" fontId="1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7" fillId="0" borderId="0" xfId="0" applyFont="1" applyAlignment="1">
      <alignment horizontal="center"/>
    </xf>
    <xf numFmtId="10" fontId="7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11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7" fillId="0" borderId="2" xfId="0" applyFont="1" applyBorder="1" applyAlignment="1">
      <alignment horizontal="center"/>
    </xf>
    <xf numFmtId="10" fontId="7" fillId="0" borderId="2" xfId="0" applyNumberFormat="1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164" fontId="9" fillId="0" borderId="2" xfId="0" applyNumberFormat="1" applyFont="1" applyBorder="1" applyAlignment="1">
      <alignment horizontal="center"/>
    </xf>
    <xf numFmtId="164" fontId="10" fillId="0" borderId="2" xfId="0" applyNumberFormat="1" applyFont="1" applyBorder="1" applyAlignment="1">
      <alignment horizontal="center"/>
    </xf>
    <xf numFmtId="164" fontId="6" fillId="0" borderId="0" xfId="0" applyNumberFormat="1" applyFont="1"/>
    <xf numFmtId="10" fontId="9" fillId="0" borderId="2" xfId="0" applyNumberFormat="1" applyFont="1" applyBorder="1" applyAlignment="1">
      <alignment horizontal="center"/>
    </xf>
    <xf numFmtId="10" fontId="10" fillId="0" borderId="0" xfId="0" applyNumberFormat="1" applyFont="1" applyAlignment="1">
      <alignment horizontal="center"/>
    </xf>
    <xf numFmtId="10" fontId="10" fillId="0" borderId="2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0" fillId="0" borderId="3" xfId="0" applyBorder="1" applyAlignment="1">
      <alignment horizontal="center"/>
    </xf>
    <xf numFmtId="164" fontId="12" fillId="3" borderId="0" xfId="0" applyNumberFormat="1" applyFont="1" applyFill="1" applyAlignment="1">
      <alignment horizontal="center"/>
    </xf>
    <xf numFmtId="5" fontId="1" fillId="5" borderId="2" xfId="0" applyNumberFormat="1" applyFont="1" applyFill="1" applyBorder="1" applyAlignment="1">
      <alignment horizontal="center"/>
    </xf>
    <xf numFmtId="5" fontId="1" fillId="6" borderId="2" xfId="0" applyNumberFormat="1" applyFont="1" applyFill="1" applyBorder="1" applyAlignment="1">
      <alignment horizontal="center"/>
    </xf>
    <xf numFmtId="5" fontId="1" fillId="7" borderId="2" xfId="0" applyNumberFormat="1" applyFont="1" applyFill="1" applyBorder="1" applyAlignment="1">
      <alignment horizontal="center"/>
    </xf>
    <xf numFmtId="164" fontId="12" fillId="7" borderId="0" xfId="0" applyNumberFormat="1" applyFont="1" applyFill="1" applyAlignment="1">
      <alignment horizontal="center"/>
    </xf>
    <xf numFmtId="164" fontId="12" fillId="7" borderId="2" xfId="0" applyNumberFormat="1" applyFont="1" applyFill="1" applyBorder="1" applyAlignment="1">
      <alignment horizontal="center"/>
    </xf>
    <xf numFmtId="164" fontId="12" fillId="6" borderId="0" xfId="0" applyNumberFormat="1" applyFont="1" applyFill="1" applyAlignment="1">
      <alignment horizontal="center"/>
    </xf>
    <xf numFmtId="164" fontId="12" fillId="6" borderId="2" xfId="0" applyNumberFormat="1" applyFont="1" applyFill="1" applyBorder="1" applyAlignment="1">
      <alignment horizontal="center"/>
    </xf>
    <xf numFmtId="164" fontId="5" fillId="0" borderId="0" xfId="0" applyNumberFormat="1" applyFont="1"/>
    <xf numFmtId="164" fontId="1" fillId="0" borderId="0" xfId="0" applyNumberFormat="1" applyFont="1"/>
    <xf numFmtId="10" fontId="1" fillId="0" borderId="0" xfId="0" applyNumberFormat="1" applyFont="1"/>
    <xf numFmtId="164" fontId="12" fillId="5" borderId="0" xfId="0" applyNumberFormat="1" applyFont="1" applyFill="1" applyAlignment="1">
      <alignment horizontal="center"/>
    </xf>
    <xf numFmtId="164" fontId="12" fillId="5" borderId="2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1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2" xfId="0" applyBorder="1"/>
    <xf numFmtId="0" fontId="0" fillId="0" borderId="0" xfId="0" applyFill="1" applyAlignment="1">
      <alignment horizontal="center"/>
    </xf>
    <xf numFmtId="5" fontId="1" fillId="4" borderId="0" xfId="0" applyNumberFormat="1" applyFont="1" applyFill="1" applyAlignment="1">
      <alignment horizontal="center"/>
    </xf>
    <xf numFmtId="0" fontId="13" fillId="0" borderId="0" xfId="0" applyFont="1"/>
    <xf numFmtId="5" fontId="1" fillId="4" borderId="0" xfId="0" applyNumberFormat="1" applyFont="1" applyFill="1" applyBorder="1" applyAlignment="1">
      <alignment horizontal="center"/>
    </xf>
    <xf numFmtId="164" fontId="8" fillId="0" borderId="0" xfId="0" applyNumberFormat="1" applyFont="1"/>
    <xf numFmtId="37" fontId="13" fillId="0" borderId="0" xfId="0" applyNumberFormat="1" applyFont="1"/>
    <xf numFmtId="165" fontId="13" fillId="0" borderId="0" xfId="0" applyNumberFormat="1" applyFont="1"/>
    <xf numFmtId="7" fontId="13" fillId="0" borderId="0" xfId="0" applyNumberFormat="1" applyFont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16" fillId="8" borderId="0" xfId="2" applyFont="1" applyFill="1"/>
    <xf numFmtId="164" fontId="16" fillId="8" borderId="8" xfId="3" applyNumberFormat="1" applyFont="1" applyFill="1" applyBorder="1"/>
    <xf numFmtId="164" fontId="16" fillId="8" borderId="9" xfId="3" applyNumberFormat="1" applyFont="1" applyFill="1" applyBorder="1"/>
    <xf numFmtId="164" fontId="16" fillId="8" borderId="13" xfId="3" applyNumberFormat="1" applyFont="1" applyFill="1" applyBorder="1"/>
    <xf numFmtId="164" fontId="16" fillId="8" borderId="0" xfId="3" applyNumberFormat="1" applyFont="1" applyFill="1" applyBorder="1"/>
    <xf numFmtId="10" fontId="18" fillId="8" borderId="0" xfId="3" applyNumberFormat="1" applyFont="1" applyFill="1" applyBorder="1"/>
    <xf numFmtId="164" fontId="16" fillId="8" borderId="15" xfId="3" applyNumberFormat="1" applyFont="1" applyFill="1" applyBorder="1"/>
    <xf numFmtId="10" fontId="18" fillId="8" borderId="13" xfId="3" applyNumberFormat="1" applyFont="1" applyFill="1" applyBorder="1"/>
    <xf numFmtId="167" fontId="19" fillId="8" borderId="0" xfId="2" applyNumberFormat="1" applyFont="1" applyFill="1" applyBorder="1"/>
    <xf numFmtId="0" fontId="16" fillId="8" borderId="20" xfId="2" applyFont="1" applyFill="1" applyBorder="1"/>
    <xf numFmtId="0" fontId="16" fillId="9" borderId="0" xfId="2" applyFont="1" applyFill="1" applyBorder="1"/>
    <xf numFmtId="167" fontId="16" fillId="8" borderId="0" xfId="2" applyNumberFormat="1" applyFont="1" applyFill="1" applyBorder="1"/>
    <xf numFmtId="0" fontId="18" fillId="8" borderId="0" xfId="2" applyFont="1" applyFill="1" applyBorder="1" applyAlignment="1">
      <alignment horizontal="right" vertical="center"/>
    </xf>
    <xf numFmtId="167" fontId="16" fillId="8" borderId="8" xfId="2" applyNumberFormat="1" applyFont="1" applyFill="1" applyBorder="1"/>
    <xf numFmtId="167" fontId="16" fillId="8" borderId="9" xfId="2" applyNumberFormat="1" applyFont="1" applyFill="1" applyBorder="1"/>
    <xf numFmtId="0" fontId="18" fillId="9" borderId="0" xfId="2" applyFont="1" applyFill="1" applyBorder="1"/>
    <xf numFmtId="167" fontId="16" fillId="8" borderId="13" xfId="2" applyNumberFormat="1" applyFont="1" applyFill="1" applyBorder="1"/>
    <xf numFmtId="167" fontId="16" fillId="8" borderId="15" xfId="2" applyNumberFormat="1" applyFont="1" applyFill="1" applyBorder="1"/>
    <xf numFmtId="166" fontId="18" fillId="8" borderId="9" xfId="2" applyNumberFormat="1" applyFont="1" applyFill="1" applyBorder="1"/>
    <xf numFmtId="166" fontId="18" fillId="8" borderId="0" xfId="2" applyNumberFormat="1" applyFont="1" applyFill="1" applyBorder="1"/>
    <xf numFmtId="0" fontId="16" fillId="8" borderId="0" xfId="2" applyFont="1" applyFill="1" applyAlignment="1">
      <alignment horizontal="left"/>
    </xf>
    <xf numFmtId="0" fontId="16" fillId="9" borderId="9" xfId="2" applyFont="1" applyFill="1" applyBorder="1"/>
    <xf numFmtId="0" fontId="16" fillId="9" borderId="9" xfId="2" applyFont="1" applyFill="1" applyBorder="1" applyAlignment="1">
      <alignment horizontal="left"/>
    </xf>
    <xf numFmtId="0" fontId="16" fillId="9" borderId="10" xfId="2" applyFont="1" applyFill="1" applyBorder="1" applyAlignment="1">
      <alignment horizontal="left"/>
    </xf>
    <xf numFmtId="0" fontId="18" fillId="9" borderId="27" xfId="2" applyFont="1" applyFill="1" applyBorder="1"/>
    <xf numFmtId="0" fontId="18" fillId="9" borderId="28" xfId="2" applyFont="1" applyFill="1" applyBorder="1"/>
    <xf numFmtId="0" fontId="16" fillId="9" borderId="4" xfId="2" applyFont="1" applyFill="1" applyBorder="1"/>
    <xf numFmtId="0" fontId="16" fillId="9" borderId="30" xfId="2" applyFont="1" applyFill="1" applyBorder="1"/>
    <xf numFmtId="0" fontId="16" fillId="9" borderId="14" xfId="2" applyFont="1" applyFill="1" applyBorder="1"/>
    <xf numFmtId="0" fontId="16" fillId="8" borderId="0" xfId="2" applyFont="1" applyFill="1" applyBorder="1"/>
    <xf numFmtId="10" fontId="18" fillId="9" borderId="14" xfId="2" applyNumberFormat="1" applyFont="1" applyFill="1" applyBorder="1"/>
    <xf numFmtId="10" fontId="18" fillId="9" borderId="0" xfId="2" applyNumberFormat="1" applyFont="1" applyFill="1" applyBorder="1"/>
    <xf numFmtId="164" fontId="16" fillId="9" borderId="14" xfId="3" applyNumberFormat="1" applyFont="1" applyFill="1" applyBorder="1"/>
    <xf numFmtId="164" fontId="16" fillId="9" borderId="0" xfId="3" applyNumberFormat="1" applyFont="1" applyFill="1" applyBorder="1"/>
    <xf numFmtId="10" fontId="16" fillId="8" borderId="0" xfId="2" applyNumberFormat="1" applyFont="1" applyFill="1"/>
    <xf numFmtId="0" fontId="16" fillId="8" borderId="0" xfId="2" applyFont="1" applyFill="1" applyAlignment="1">
      <alignment horizontal="center"/>
    </xf>
    <xf numFmtId="0" fontId="18" fillId="9" borderId="14" xfId="2" applyFont="1" applyFill="1" applyBorder="1"/>
    <xf numFmtId="172" fontId="21" fillId="9" borderId="33" xfId="5" applyNumberFormat="1" applyFont="1" applyFill="1" applyBorder="1" applyAlignment="1">
      <alignment horizontal="center"/>
    </xf>
    <xf numFmtId="172" fontId="21" fillId="9" borderId="34" xfId="5" applyNumberFormat="1" applyFont="1" applyFill="1" applyBorder="1" applyAlignment="1">
      <alignment horizontal="center"/>
    </xf>
    <xf numFmtId="0" fontId="21" fillId="9" borderId="34" xfId="5" applyFont="1" applyFill="1" applyBorder="1" applyAlignment="1">
      <alignment horizontal="center"/>
    </xf>
    <xf numFmtId="0" fontId="27" fillId="9" borderId="34" xfId="5" applyFont="1" applyFill="1" applyBorder="1"/>
    <xf numFmtId="0" fontId="27" fillId="9" borderId="35" xfId="5" applyFont="1" applyFill="1" applyBorder="1"/>
    <xf numFmtId="0" fontId="16" fillId="9" borderId="0" xfId="2" applyFont="1" applyFill="1" applyBorder="1" applyAlignment="1">
      <alignment horizontal="right"/>
    </xf>
    <xf numFmtId="0" fontId="28" fillId="9" borderId="0" xfId="2" applyFont="1" applyFill="1" applyBorder="1" applyAlignment="1">
      <alignment horizontal="left" vertical="center"/>
    </xf>
    <xf numFmtId="0" fontId="29" fillId="9" borderId="0" xfId="2" applyFont="1" applyFill="1" applyBorder="1" applyAlignment="1">
      <alignment horizontal="left" vertical="center" indent="1"/>
    </xf>
    <xf numFmtId="0" fontId="30" fillId="9" borderId="0" xfId="2" applyFont="1" applyFill="1" applyBorder="1" applyAlignment="1">
      <alignment horizontal="left" vertical="center"/>
    </xf>
    <xf numFmtId="0" fontId="30" fillId="9" borderId="14" xfId="2" applyFont="1" applyFill="1" applyBorder="1" applyAlignment="1">
      <alignment horizontal="left" vertical="center"/>
    </xf>
    <xf numFmtId="0" fontId="0" fillId="0" borderId="0" xfId="0" applyBorder="1"/>
    <xf numFmtId="0" fontId="0" fillId="0" borderId="0" xfId="0" applyFill="1" applyBorder="1"/>
    <xf numFmtId="168" fontId="24" fillId="9" borderId="4" xfId="2" applyNumberFormat="1" applyFont="1" applyFill="1" applyBorder="1"/>
    <xf numFmtId="168" fontId="24" fillId="9" borderId="29" xfId="2" applyNumberFormat="1" applyFont="1" applyFill="1" applyBorder="1"/>
    <xf numFmtId="168" fontId="24" fillId="9" borderId="0" xfId="2" applyNumberFormat="1" applyFont="1" applyFill="1" applyBorder="1"/>
    <xf numFmtId="168" fontId="24" fillId="9" borderId="5" xfId="2" applyNumberFormat="1" applyFont="1" applyFill="1" applyBorder="1"/>
    <xf numFmtId="0" fontId="28" fillId="9" borderId="0" xfId="2" applyFont="1" applyFill="1" applyBorder="1" applyAlignment="1">
      <alignment horizontal="center" vertical="center"/>
    </xf>
    <xf numFmtId="168" fontId="16" fillId="9" borderId="4" xfId="2" applyNumberFormat="1" applyFont="1" applyFill="1" applyBorder="1" applyAlignment="1">
      <alignment horizontal="center"/>
    </xf>
    <xf numFmtId="168" fontId="16" fillId="9" borderId="0" xfId="2" applyNumberFormat="1" applyFont="1" applyFill="1" applyBorder="1" applyAlignment="1">
      <alignment horizontal="center"/>
    </xf>
    <xf numFmtId="171" fontId="16" fillId="8" borderId="0" xfId="4" applyNumberFormat="1" applyFont="1" applyFill="1" applyBorder="1" applyAlignment="1">
      <alignment horizontal="center"/>
    </xf>
    <xf numFmtId="0" fontId="16" fillId="8" borderId="0" xfId="2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31" fillId="9" borderId="0" xfId="2" applyFont="1" applyFill="1" applyBorder="1" applyAlignment="1">
      <alignment horizontal="center"/>
    </xf>
    <xf numFmtId="0" fontId="31" fillId="9" borderId="13" xfId="2" applyFont="1" applyFill="1" applyBorder="1" applyAlignment="1">
      <alignment horizontal="center"/>
    </xf>
    <xf numFmtId="1" fontId="24" fillId="9" borderId="0" xfId="2" applyNumberFormat="1" applyFont="1" applyFill="1" applyBorder="1" applyAlignment="1">
      <alignment horizontal="center"/>
    </xf>
    <xf numFmtId="1" fontId="24" fillId="9" borderId="13" xfId="2" applyNumberFormat="1" applyFont="1" applyFill="1" applyBorder="1" applyAlignment="1">
      <alignment horizontal="center"/>
    </xf>
    <xf numFmtId="0" fontId="33" fillId="0" borderId="0" xfId="0" applyFont="1"/>
    <xf numFmtId="0" fontId="34" fillId="2" borderId="0" xfId="0" applyFont="1" applyFill="1"/>
    <xf numFmtId="0" fontId="34" fillId="2" borderId="0" xfId="0" applyFont="1" applyFill="1" applyAlignment="1">
      <alignment horizontal="center"/>
    </xf>
    <xf numFmtId="0" fontId="35" fillId="0" borderId="0" xfId="0" applyFont="1"/>
    <xf numFmtId="37" fontId="36" fillId="0" borderId="0" xfId="0" applyNumberFormat="1" applyFont="1" applyAlignment="1">
      <alignment horizontal="center"/>
    </xf>
    <xf numFmtId="37" fontId="36" fillId="0" borderId="2" xfId="0" applyNumberFormat="1" applyFont="1" applyBorder="1" applyAlignment="1">
      <alignment horizontal="center"/>
    </xf>
    <xf numFmtId="37" fontId="35" fillId="0" borderId="0" xfId="0" applyNumberFormat="1" applyFont="1" applyAlignment="1">
      <alignment horizontal="center"/>
    </xf>
    <xf numFmtId="3" fontId="33" fillId="0" borderId="0" xfId="0" applyNumberFormat="1" applyFont="1"/>
    <xf numFmtId="37" fontId="37" fillId="0" borderId="0" xfId="0" applyNumberFormat="1" applyFont="1" applyAlignment="1">
      <alignment horizontal="center"/>
    </xf>
    <xf numFmtId="37" fontId="37" fillId="0" borderId="2" xfId="0" applyNumberFormat="1" applyFont="1" applyBorder="1" applyAlignment="1">
      <alignment horizontal="center"/>
    </xf>
    <xf numFmtId="0" fontId="35" fillId="0" borderId="1" xfId="0" applyFont="1" applyBorder="1"/>
    <xf numFmtId="0" fontId="33" fillId="0" borderId="0" xfId="0" applyFont="1" applyAlignment="1">
      <alignment horizontal="center"/>
    </xf>
    <xf numFmtId="37" fontId="33" fillId="0" borderId="0" xfId="0" applyNumberFormat="1" applyFont="1"/>
    <xf numFmtId="37" fontId="33" fillId="0" borderId="0" xfId="0" applyNumberFormat="1" applyFont="1" applyAlignment="1">
      <alignment horizontal="center"/>
    </xf>
    <xf numFmtId="7" fontId="33" fillId="0" borderId="0" xfId="0" applyNumberFormat="1" applyFont="1"/>
    <xf numFmtId="7" fontId="33" fillId="0" borderId="0" xfId="0" applyNumberFormat="1" applyFont="1" applyAlignment="1">
      <alignment horizontal="center"/>
    </xf>
    <xf numFmtId="0" fontId="33" fillId="0" borderId="2" xfId="0" applyFont="1" applyBorder="1" applyAlignment="1">
      <alignment horizontal="center"/>
    </xf>
    <xf numFmtId="0" fontId="34" fillId="4" borderId="0" xfId="0" applyFont="1" applyFill="1"/>
    <xf numFmtId="0" fontId="40" fillId="4" borderId="0" xfId="0" applyFont="1" applyFill="1" applyAlignment="1">
      <alignment horizontal="center"/>
    </xf>
    <xf numFmtId="0" fontId="34" fillId="3" borderId="0" xfId="0" applyFont="1" applyFill="1" applyAlignment="1">
      <alignment horizontal="center"/>
    </xf>
    <xf numFmtId="0" fontId="33" fillId="3" borderId="0" xfId="0" applyFont="1" applyFill="1" applyAlignment="1">
      <alignment horizontal="center"/>
    </xf>
    <xf numFmtId="5" fontId="34" fillId="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41" fillId="0" borderId="0" xfId="0" applyNumberFormat="1" applyFont="1"/>
    <xf numFmtId="164" fontId="41" fillId="0" borderId="0" xfId="0" applyNumberFormat="1" applyFont="1" applyAlignment="1">
      <alignment horizontal="center"/>
    </xf>
    <xf numFmtId="165" fontId="35" fillId="0" borderId="0" xfId="0" applyNumberFormat="1" applyFont="1"/>
    <xf numFmtId="165" fontId="35" fillId="0" borderId="0" xfId="0" applyNumberFormat="1" applyFont="1" applyAlignment="1">
      <alignment horizontal="center"/>
    </xf>
    <xf numFmtId="0" fontId="34" fillId="5" borderId="0" xfId="0" applyFont="1" applyFill="1" applyAlignment="1">
      <alignment horizontal="center"/>
    </xf>
    <xf numFmtId="0" fontId="33" fillId="5" borderId="0" xfId="0" applyFont="1" applyFill="1" applyAlignment="1">
      <alignment horizontal="center"/>
    </xf>
    <xf numFmtId="0" fontId="34" fillId="6" borderId="0" xfId="0" applyFont="1" applyFill="1" applyAlignment="1">
      <alignment horizontal="center"/>
    </xf>
    <xf numFmtId="0" fontId="33" fillId="6" borderId="0" xfId="0" applyFont="1" applyFill="1" applyAlignment="1">
      <alignment horizontal="center"/>
    </xf>
    <xf numFmtId="0" fontId="34" fillId="7" borderId="0" xfId="0" applyFont="1" applyFill="1" applyAlignment="1">
      <alignment horizontal="center"/>
    </xf>
    <xf numFmtId="0" fontId="33" fillId="7" borderId="0" xfId="0" applyFont="1" applyFill="1" applyAlignment="1">
      <alignment horizontal="center"/>
    </xf>
    <xf numFmtId="0" fontId="34" fillId="4" borderId="0" xfId="0" applyFont="1" applyFill="1" applyAlignment="1">
      <alignment horizontal="center"/>
    </xf>
    <xf numFmtId="37" fontId="35" fillId="0" borderId="0" xfId="0" applyNumberFormat="1" applyFont="1"/>
    <xf numFmtId="37" fontId="38" fillId="0" borderId="0" xfId="0" applyNumberFormat="1" applyFont="1" applyAlignment="1">
      <alignment horizontal="center"/>
    </xf>
    <xf numFmtId="7" fontId="35" fillId="0" borderId="0" xfId="0" applyNumberFormat="1" applyFont="1"/>
    <xf numFmtId="7" fontId="35" fillId="0" borderId="0" xfId="0" applyNumberFormat="1" applyFont="1" applyAlignment="1">
      <alignment horizontal="center"/>
    </xf>
    <xf numFmtId="164" fontId="43" fillId="0" borderId="0" xfId="0" applyNumberFormat="1" applyFont="1"/>
    <xf numFmtId="164" fontId="43" fillId="0" borderId="0" xfId="0" applyNumberFormat="1" applyFont="1" applyAlignment="1">
      <alignment horizontal="center"/>
    </xf>
    <xf numFmtId="164" fontId="46" fillId="0" borderId="0" xfId="0" applyNumberFormat="1" applyFont="1" applyAlignment="1">
      <alignment horizontal="center"/>
    </xf>
    <xf numFmtId="37" fontId="47" fillId="0" borderId="0" xfId="0" applyNumberFormat="1" applyFont="1" applyAlignment="1">
      <alignment horizontal="center"/>
    </xf>
    <xf numFmtId="0" fontId="33" fillId="0" borderId="1" xfId="0" applyFont="1" applyBorder="1"/>
    <xf numFmtId="37" fontId="37" fillId="0" borderId="1" xfId="0" applyNumberFormat="1" applyFont="1" applyBorder="1" applyAlignment="1">
      <alignment horizontal="center"/>
    </xf>
    <xf numFmtId="0" fontId="47" fillId="0" borderId="0" xfId="0" applyFont="1" applyAlignment="1">
      <alignment horizontal="center"/>
    </xf>
    <xf numFmtId="165" fontId="33" fillId="0" borderId="0" xfId="0" applyNumberFormat="1" applyFont="1"/>
    <xf numFmtId="164" fontId="41" fillId="0" borderId="2" xfId="0" applyNumberFormat="1" applyFont="1" applyBorder="1" applyAlignment="1">
      <alignment horizontal="center"/>
    </xf>
    <xf numFmtId="165" fontId="35" fillId="0" borderId="2" xfId="0" applyNumberFormat="1" applyFont="1" applyBorder="1" applyAlignment="1">
      <alignment horizontal="center"/>
    </xf>
    <xf numFmtId="37" fontId="35" fillId="0" borderId="2" xfId="0" applyNumberFormat="1" applyFont="1" applyBorder="1" applyAlignment="1">
      <alignment horizontal="center"/>
    </xf>
    <xf numFmtId="37" fontId="33" fillId="0" borderId="2" xfId="0" applyNumberFormat="1" applyFont="1" applyBorder="1" applyAlignment="1">
      <alignment horizontal="center"/>
    </xf>
    <xf numFmtId="7" fontId="35" fillId="0" borderId="2" xfId="0" applyNumberFormat="1" applyFont="1" applyBorder="1" applyAlignment="1">
      <alignment horizontal="center"/>
    </xf>
    <xf numFmtId="37" fontId="47" fillId="0" borderId="2" xfId="0" applyNumberFormat="1" applyFont="1" applyBorder="1" applyAlignment="1">
      <alignment horizontal="center"/>
    </xf>
    <xf numFmtId="37" fontId="37" fillId="0" borderId="3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5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0" xfId="0" applyFont="1" applyBorder="1"/>
    <xf numFmtId="0" fontId="7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10" fontId="0" fillId="0" borderId="0" xfId="0" applyNumberFormat="1" applyBorder="1"/>
    <xf numFmtId="10" fontId="11" fillId="0" borderId="38" xfId="0" applyNumberFormat="1" applyFont="1" applyBorder="1"/>
    <xf numFmtId="164" fontId="12" fillId="3" borderId="0" xfId="0" applyNumberFormat="1" applyFont="1" applyFill="1" applyBorder="1" applyAlignment="1">
      <alignment horizontal="center"/>
    </xf>
    <xf numFmtId="5" fontId="1" fillId="3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7" fontId="16" fillId="8" borderId="0" xfId="2" applyNumberFormat="1" applyFont="1" applyFill="1" applyAlignment="1">
      <alignment horizontal="center"/>
    </xf>
    <xf numFmtId="0" fontId="48" fillId="0" borderId="0" xfId="0" applyFont="1" applyBorder="1"/>
    <xf numFmtId="0" fontId="51" fillId="0" borderId="0" xfId="0" applyFont="1" applyFill="1" applyAlignment="1"/>
    <xf numFmtId="0" fontId="52" fillId="0" borderId="0" xfId="0" applyFont="1"/>
    <xf numFmtId="0" fontId="53" fillId="0" borderId="0" xfId="0" applyFont="1"/>
    <xf numFmtId="0" fontId="54" fillId="10" borderId="0" xfId="0" applyFont="1" applyFill="1"/>
    <xf numFmtId="0" fontId="53" fillId="10" borderId="0" xfId="0" applyFont="1" applyFill="1"/>
    <xf numFmtId="0" fontId="55" fillId="3" borderId="0" xfId="0" applyFont="1" applyFill="1"/>
    <xf numFmtId="0" fontId="56" fillId="0" borderId="0" xfId="0" applyFont="1"/>
    <xf numFmtId="0" fontId="53" fillId="0" borderId="0" xfId="0" applyFont="1" applyFill="1"/>
    <xf numFmtId="0" fontId="56" fillId="0" borderId="42" xfId="0" applyFont="1" applyBorder="1"/>
    <xf numFmtId="0" fontId="0" fillId="0" borderId="42" xfId="0" applyBorder="1"/>
    <xf numFmtId="0" fontId="59" fillId="10" borderId="0" xfId="0" applyFont="1" applyFill="1"/>
    <xf numFmtId="0" fontId="51" fillId="0" borderId="0" xfId="0" applyFont="1" applyFill="1" applyAlignment="1">
      <alignment horizontal="center"/>
    </xf>
    <xf numFmtId="0" fontId="53" fillId="0" borderId="0" xfId="0" applyFont="1" applyAlignment="1">
      <alignment horizontal="center"/>
    </xf>
    <xf numFmtId="0" fontId="54" fillId="10" borderId="0" xfId="0" applyFont="1" applyFill="1" applyAlignment="1">
      <alignment horizontal="center"/>
    </xf>
    <xf numFmtId="0" fontId="55" fillId="3" borderId="0" xfId="0" applyFont="1" applyFill="1" applyAlignment="1">
      <alignment horizontal="center"/>
    </xf>
    <xf numFmtId="0" fontId="56" fillId="3" borderId="0" xfId="0" applyFont="1" applyFill="1" applyAlignment="1">
      <alignment horizontal="center"/>
    </xf>
    <xf numFmtId="0" fontId="59" fillId="10" borderId="0" xfId="0" applyFont="1" applyFill="1" applyAlignment="1">
      <alignment horizontal="center"/>
    </xf>
    <xf numFmtId="0" fontId="56" fillId="0" borderId="0" xfId="0" applyFont="1" applyAlignment="1">
      <alignment horizontal="center"/>
    </xf>
    <xf numFmtId="0" fontId="0" fillId="10" borderId="0" xfId="0" applyFill="1" applyAlignment="1">
      <alignment horizontal="center"/>
    </xf>
    <xf numFmtId="0" fontId="55" fillId="3" borderId="42" xfId="0" applyFont="1" applyFill="1" applyBorder="1"/>
    <xf numFmtId="0" fontId="55" fillId="3" borderId="42" xfId="0" applyFont="1" applyFill="1" applyBorder="1" applyAlignment="1">
      <alignment horizontal="center"/>
    </xf>
    <xf numFmtId="0" fontId="55" fillId="0" borderId="0" xfId="0" applyFont="1" applyFill="1" applyBorder="1"/>
    <xf numFmtId="10" fontId="56" fillId="0" borderId="0" xfId="0" applyNumberFormat="1" applyFont="1" applyFill="1" applyBorder="1" applyAlignment="1">
      <alignment horizontal="center"/>
    </xf>
    <xf numFmtId="0" fontId="60" fillId="0" borderId="0" xfId="0" applyFont="1"/>
    <xf numFmtId="0" fontId="60" fillId="0" borderId="0" xfId="0" applyFont="1" applyAlignment="1">
      <alignment horizontal="center"/>
    </xf>
    <xf numFmtId="0" fontId="50" fillId="0" borderId="0" xfId="0" applyFont="1"/>
    <xf numFmtId="0" fontId="0" fillId="0" borderId="40" xfId="0" applyBorder="1"/>
    <xf numFmtId="0" fontId="49" fillId="0" borderId="0" xfId="0" applyFont="1" applyBorder="1"/>
    <xf numFmtId="0" fontId="49" fillId="0" borderId="0" xfId="0" applyFont="1" applyBorder="1" applyAlignment="1">
      <alignment horizontal="center"/>
    </xf>
    <xf numFmtId="0" fontId="59" fillId="10" borderId="0" xfId="0" applyFont="1" applyFill="1" applyAlignment="1">
      <alignment horizontal="left"/>
    </xf>
    <xf numFmtId="0" fontId="62" fillId="0" borderId="0" xfId="0" applyFont="1"/>
    <xf numFmtId="0" fontId="62" fillId="0" borderId="43" xfId="0" applyFont="1" applyBorder="1"/>
    <xf numFmtId="0" fontId="62" fillId="0" borderId="40" xfId="0" applyFont="1" applyBorder="1"/>
    <xf numFmtId="0" fontId="62" fillId="0" borderId="41" xfId="0" applyFont="1" applyBorder="1"/>
    <xf numFmtId="0" fontId="0" fillId="0" borderId="0" xfId="0" applyAlignment="1">
      <alignment horizontal="center"/>
    </xf>
    <xf numFmtId="7" fontId="33" fillId="0" borderId="2" xfId="0" applyNumberFormat="1" applyFon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174" fontId="6" fillId="0" borderId="0" xfId="0" applyNumberFormat="1" applyFont="1" applyBorder="1" applyAlignment="1">
      <alignment horizontal="center"/>
    </xf>
    <xf numFmtId="0" fontId="1" fillId="10" borderId="0" xfId="0" applyFont="1" applyFill="1" applyAlignment="1"/>
    <xf numFmtId="0" fontId="1" fillId="10" borderId="0" xfId="0" applyFont="1" applyFill="1" applyAlignment="1">
      <alignment horizontal="center"/>
    </xf>
    <xf numFmtId="0" fontId="40" fillId="3" borderId="0" xfId="0" applyFont="1" applyFill="1" applyAlignment="1">
      <alignment horizontal="center" vertical="center"/>
    </xf>
    <xf numFmtId="0" fontId="40" fillId="3" borderId="0" xfId="0" applyFont="1" applyFill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40" fillId="3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Alignment="1"/>
    <xf numFmtId="0" fontId="0" fillId="0" borderId="0" xfId="0" applyBorder="1" applyAlignment="1"/>
    <xf numFmtId="0" fontId="53" fillId="0" borderId="0" xfId="0" applyFont="1" applyAlignment="1"/>
    <xf numFmtId="0" fontId="57" fillId="10" borderId="0" xfId="0" applyFont="1" applyFill="1" applyAlignment="1"/>
    <xf numFmtId="0" fontId="58" fillId="0" borderId="40" xfId="0" applyFont="1" applyBorder="1" applyAlignment="1"/>
    <xf numFmtId="0" fontId="58" fillId="0" borderId="41" xfId="0" applyFont="1" applyBorder="1" applyAlignment="1"/>
    <xf numFmtId="0" fontId="0" fillId="10" borderId="0" xfId="0" applyFill="1" applyAlignment="1"/>
    <xf numFmtId="0" fontId="56" fillId="0" borderId="40" xfId="0" applyFont="1" applyBorder="1" applyAlignment="1"/>
    <xf numFmtId="0" fontId="60" fillId="0" borderId="0" xfId="0" applyFont="1" applyAlignment="1"/>
    <xf numFmtId="0" fontId="1" fillId="3" borderId="0" xfId="0" applyFont="1" applyFill="1"/>
    <xf numFmtId="0" fontId="64" fillId="3" borderId="0" xfId="0" applyFont="1" applyFill="1"/>
    <xf numFmtId="0" fontId="65" fillId="0" borderId="0" xfId="0" applyFont="1"/>
    <xf numFmtId="0" fontId="0" fillId="10" borderId="0" xfId="0" applyFill="1"/>
    <xf numFmtId="0" fontId="65" fillId="0" borderId="18" xfId="0" applyFont="1" applyBorder="1"/>
    <xf numFmtId="0" fontId="65" fillId="0" borderId="11" xfId="0" applyFont="1" applyBorder="1"/>
    <xf numFmtId="0" fontId="65" fillId="0" borderId="6" xfId="0" applyFont="1" applyBorder="1"/>
    <xf numFmtId="0" fontId="66" fillId="3" borderId="12" xfId="2" applyFont="1" applyFill="1" applyBorder="1"/>
    <xf numFmtId="0" fontId="66" fillId="3" borderId="0" xfId="2" applyFont="1" applyFill="1" applyBorder="1"/>
    <xf numFmtId="0" fontId="66" fillId="3" borderId="7" xfId="2" applyFont="1" applyFill="1" applyBorder="1"/>
    <xf numFmtId="0" fontId="66" fillId="3" borderId="18" xfId="2" applyFont="1" applyFill="1" applyBorder="1"/>
    <xf numFmtId="5" fontId="16" fillId="8" borderId="11" xfId="2" applyNumberFormat="1" applyFont="1" applyFill="1" applyBorder="1"/>
    <xf numFmtId="0" fontId="16" fillId="8" borderId="11" xfId="2" applyFont="1" applyFill="1" applyBorder="1"/>
    <xf numFmtId="0" fontId="66" fillId="3" borderId="17" xfId="2" applyFont="1" applyFill="1" applyBorder="1"/>
    <xf numFmtId="166" fontId="22" fillId="8" borderId="11" xfId="2" applyNumberFormat="1" applyFont="1" applyFill="1" applyBorder="1"/>
    <xf numFmtId="39" fontId="0" fillId="0" borderId="0" xfId="0" applyNumberFormat="1"/>
    <xf numFmtId="0" fontId="1" fillId="10" borderId="0" xfId="0" applyFont="1" applyFill="1"/>
    <xf numFmtId="0" fontId="1" fillId="10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9" fontId="0" fillId="0" borderId="44" xfId="0" applyNumberFormat="1" applyFont="1" applyBorder="1" applyAlignment="1">
      <alignment vertical="top" wrapText="1"/>
    </xf>
    <xf numFmtId="49" fontId="0" fillId="0" borderId="45" xfId="0" applyNumberFormat="1" applyFont="1" applyBorder="1" applyAlignment="1">
      <alignment vertical="top" wrapText="1"/>
    </xf>
    <xf numFmtId="49" fontId="0" fillId="0" borderId="46" xfId="0" applyNumberFormat="1" applyFont="1" applyBorder="1" applyAlignment="1">
      <alignment vertical="top" wrapText="1"/>
    </xf>
    <xf numFmtId="0" fontId="63" fillId="0" borderId="0" xfId="0" applyFont="1"/>
    <xf numFmtId="0" fontId="67" fillId="0" borderId="0" xfId="0" applyFont="1"/>
    <xf numFmtId="0" fontId="68" fillId="0" borderId="0" xfId="0" applyFont="1"/>
    <xf numFmtId="1" fontId="0" fillId="0" borderId="0" xfId="0" applyNumberFormat="1"/>
    <xf numFmtId="0" fontId="1" fillId="0" borderId="0" xfId="0" applyFont="1" applyFill="1" applyAlignment="1">
      <alignment horizontal="center"/>
    </xf>
    <xf numFmtId="8" fontId="1" fillId="10" borderId="0" xfId="0" applyNumberFormat="1" applyFont="1" applyFill="1"/>
    <xf numFmtId="0" fontId="0" fillId="0" borderId="6" xfId="0" applyBorder="1" applyAlignment="1">
      <alignment horizontal="center"/>
    </xf>
    <xf numFmtId="0" fontId="0" fillId="0" borderId="49" xfId="0" applyBorder="1" applyAlignment="1">
      <alignment horizontal="center"/>
    </xf>
    <xf numFmtId="0" fontId="40" fillId="0" borderId="0" xfId="0" applyFont="1" applyFill="1" applyAlignment="1">
      <alignment horizontal="center" vertical="center"/>
    </xf>
    <xf numFmtId="0" fontId="34" fillId="10" borderId="0" xfId="0" applyFont="1" applyFill="1" applyBorder="1" applyAlignment="1">
      <alignment horizontal="center" wrapText="1"/>
    </xf>
    <xf numFmtId="0" fontId="34" fillId="3" borderId="0" xfId="0" applyFon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34" fillId="0" borderId="0" xfId="0" applyFont="1" applyFill="1" applyBorder="1" applyAlignment="1">
      <alignment horizontal="center" wrapText="1"/>
    </xf>
    <xf numFmtId="0" fontId="40" fillId="0" borderId="0" xfId="0" applyFont="1" applyFill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2" fontId="1" fillId="10" borderId="0" xfId="0" applyNumberFormat="1" applyFont="1" applyFill="1"/>
    <xf numFmtId="37" fontId="36" fillId="11" borderId="0" xfId="0" applyNumberFormat="1" applyFont="1" applyFill="1" applyAlignment="1">
      <alignment horizontal="center"/>
    </xf>
    <xf numFmtId="37" fontId="36" fillId="12" borderId="1" xfId="0" applyNumberFormat="1" applyFont="1" applyFill="1" applyBorder="1" applyAlignment="1">
      <alignment horizontal="center"/>
    </xf>
    <xf numFmtId="37" fontId="37" fillId="11" borderId="0" xfId="0" applyNumberFormat="1" applyFont="1" applyFill="1" applyAlignment="1">
      <alignment horizontal="center"/>
    </xf>
    <xf numFmtId="37" fontId="36" fillId="12" borderId="2" xfId="0" applyNumberFormat="1" applyFont="1" applyFill="1" applyBorder="1" applyAlignment="1">
      <alignment horizontal="center"/>
    </xf>
    <xf numFmtId="37" fontId="36" fillId="13" borderId="0" xfId="0" applyNumberFormat="1" applyFont="1" applyFill="1" applyAlignment="1">
      <alignment horizontal="center"/>
    </xf>
    <xf numFmtId="37" fontId="36" fillId="12" borderId="0" xfId="0" applyNumberFormat="1" applyFont="1" applyFill="1" applyAlignment="1">
      <alignment horizontal="center"/>
    </xf>
    <xf numFmtId="37" fontId="37" fillId="13" borderId="0" xfId="0" applyNumberFormat="1" applyFont="1" applyFill="1" applyAlignment="1">
      <alignment horizontal="center"/>
    </xf>
    <xf numFmtId="7" fontId="36" fillId="13" borderId="0" xfId="0" applyNumberFormat="1" applyFont="1" applyFill="1" applyAlignment="1">
      <alignment horizontal="center"/>
    </xf>
    <xf numFmtId="37" fontId="36" fillId="12" borderId="3" xfId="0" applyNumberFormat="1" applyFont="1" applyFill="1" applyBorder="1" applyAlignment="1">
      <alignment horizontal="center"/>
    </xf>
    <xf numFmtId="164" fontId="44" fillId="12" borderId="0" xfId="0" applyNumberFormat="1" applyFont="1" applyFill="1" applyAlignment="1">
      <alignment horizontal="center"/>
    </xf>
    <xf numFmtId="7" fontId="36" fillId="12" borderId="0" xfId="0" applyNumberFormat="1" applyFont="1" applyFill="1" applyAlignment="1">
      <alignment horizontal="center"/>
    </xf>
    <xf numFmtId="37" fontId="36" fillId="0" borderId="2" xfId="0" applyNumberFormat="1" applyFont="1" applyFill="1" applyBorder="1" applyAlignment="1">
      <alignment horizontal="center"/>
    </xf>
    <xf numFmtId="37" fontId="37" fillId="0" borderId="2" xfId="0" applyNumberFormat="1" applyFont="1" applyFill="1" applyBorder="1" applyAlignment="1">
      <alignment horizontal="center"/>
    </xf>
    <xf numFmtId="37" fontId="37" fillId="0" borderId="0" xfId="0" applyNumberFormat="1" applyFont="1" applyFill="1" applyAlignment="1">
      <alignment horizontal="center"/>
    </xf>
    <xf numFmtId="37" fontId="33" fillId="0" borderId="0" xfId="0" applyNumberFormat="1" applyFont="1" applyFill="1" applyAlignment="1">
      <alignment horizontal="center"/>
    </xf>
    <xf numFmtId="7" fontId="33" fillId="0" borderId="0" xfId="0" applyNumberFormat="1" applyFont="1" applyFill="1" applyAlignment="1">
      <alignment horizontal="center"/>
    </xf>
    <xf numFmtId="37" fontId="33" fillId="0" borderId="2" xfId="0" applyNumberFormat="1" applyFont="1" applyFill="1" applyBorder="1" applyAlignment="1">
      <alignment horizontal="center"/>
    </xf>
    <xf numFmtId="7" fontId="33" fillId="0" borderId="2" xfId="0" applyNumberFormat="1" applyFont="1" applyFill="1" applyBorder="1" applyAlignment="1">
      <alignment horizontal="center"/>
    </xf>
    <xf numFmtId="37" fontId="33" fillId="11" borderId="0" xfId="0" applyNumberFormat="1" applyFont="1" applyFill="1" applyAlignment="1">
      <alignment horizontal="center"/>
    </xf>
    <xf numFmtId="37" fontId="35" fillId="13" borderId="1" xfId="0" applyNumberFormat="1" applyFont="1" applyFill="1" applyBorder="1" applyAlignment="1">
      <alignment horizontal="center"/>
    </xf>
    <xf numFmtId="37" fontId="35" fillId="12" borderId="1" xfId="0" applyNumberFormat="1" applyFont="1" applyFill="1" applyBorder="1" applyAlignment="1">
      <alignment horizontal="center"/>
    </xf>
    <xf numFmtId="37" fontId="33" fillId="12" borderId="0" xfId="0" applyNumberFormat="1" applyFont="1" applyFill="1" applyAlignment="1">
      <alignment horizontal="center"/>
    </xf>
    <xf numFmtId="37" fontId="33" fillId="13" borderId="0" xfId="0" applyNumberFormat="1" applyFont="1" applyFill="1" applyAlignment="1">
      <alignment horizontal="center"/>
    </xf>
    <xf numFmtId="7" fontId="33" fillId="12" borderId="0" xfId="0" applyNumberFormat="1" applyFont="1" applyFill="1" applyAlignment="1">
      <alignment horizontal="center"/>
    </xf>
    <xf numFmtId="37" fontId="35" fillId="13" borderId="3" xfId="0" applyNumberFormat="1" applyFont="1" applyFill="1" applyBorder="1" applyAlignment="1">
      <alignment horizontal="center"/>
    </xf>
    <xf numFmtId="37" fontId="33" fillId="13" borderId="2" xfId="0" applyNumberFormat="1" applyFont="1" applyFill="1" applyBorder="1" applyAlignment="1">
      <alignment horizontal="center"/>
    </xf>
    <xf numFmtId="164" fontId="45" fillId="11" borderId="0" xfId="0" applyNumberFormat="1" applyFont="1" applyFill="1" applyAlignment="1">
      <alignment horizontal="center"/>
    </xf>
    <xf numFmtId="37" fontId="37" fillId="11" borderId="1" xfId="0" applyNumberFormat="1" applyFont="1" applyFill="1" applyBorder="1" applyAlignment="1">
      <alignment horizontal="center"/>
    </xf>
    <xf numFmtId="0" fontId="33" fillId="14" borderId="0" xfId="0" applyFont="1" applyFill="1" applyAlignment="1">
      <alignment horizontal="center"/>
    </xf>
    <xf numFmtId="0" fontId="33" fillId="11" borderId="0" xfId="0" applyFont="1" applyFill="1" applyAlignment="1">
      <alignment horizontal="center"/>
    </xf>
    <xf numFmtId="165" fontId="37" fillId="12" borderId="0" xfId="0" applyNumberFormat="1" applyFont="1" applyFill="1" applyAlignment="1">
      <alignment horizontal="center"/>
    </xf>
    <xf numFmtId="37" fontId="47" fillId="13" borderId="0" xfId="0" applyNumberFormat="1" applyFont="1" applyFill="1" applyAlignment="1">
      <alignment horizontal="center"/>
    </xf>
    <xf numFmtId="37" fontId="47" fillId="13" borderId="2" xfId="0" applyNumberFormat="1" applyFont="1" applyFill="1" applyBorder="1" applyAlignment="1">
      <alignment horizontal="center"/>
    </xf>
    <xf numFmtId="37" fontId="38" fillId="13" borderId="3" xfId="0" applyNumberFormat="1" applyFont="1" applyFill="1" applyBorder="1" applyAlignment="1">
      <alignment horizontal="center"/>
    </xf>
    <xf numFmtId="37" fontId="38" fillId="13" borderId="2" xfId="0" applyNumberFormat="1" applyFont="1" applyFill="1" applyBorder="1" applyAlignment="1">
      <alignment horizontal="center"/>
    </xf>
    <xf numFmtId="37" fontId="37" fillId="13" borderId="3" xfId="0" applyNumberFormat="1" applyFont="1" applyFill="1" applyBorder="1" applyAlignment="1">
      <alignment horizontal="center"/>
    </xf>
    <xf numFmtId="37" fontId="38" fillId="12" borderId="0" xfId="0" applyNumberFormat="1" applyFont="1" applyFill="1" applyAlignment="1">
      <alignment horizontal="center"/>
    </xf>
    <xf numFmtId="37" fontId="47" fillId="12" borderId="0" xfId="0" applyNumberFormat="1" applyFont="1" applyFill="1" applyAlignment="1">
      <alignment horizontal="center"/>
    </xf>
    <xf numFmtId="37" fontId="38" fillId="12" borderId="1" xfId="0" applyNumberFormat="1" applyFont="1" applyFill="1" applyBorder="1" applyAlignment="1">
      <alignment horizontal="center"/>
    </xf>
    <xf numFmtId="37" fontId="37" fillId="12" borderId="0" xfId="0" applyNumberFormat="1" applyFont="1" applyFill="1" applyAlignment="1">
      <alignment horizontal="center"/>
    </xf>
    <xf numFmtId="37" fontId="36" fillId="11" borderId="1" xfId="0" applyNumberFormat="1" applyFont="1" applyFill="1" applyBorder="1" applyAlignment="1">
      <alignment horizontal="center"/>
    </xf>
    <xf numFmtId="37" fontId="37" fillId="15" borderId="0" xfId="0" applyNumberFormat="1" applyFont="1" applyFill="1" applyAlignment="1">
      <alignment horizontal="center"/>
    </xf>
    <xf numFmtId="37" fontId="36" fillId="15" borderId="1" xfId="0" applyNumberFormat="1" applyFont="1" applyFill="1" applyBorder="1" applyAlignment="1">
      <alignment horizontal="center"/>
    </xf>
    <xf numFmtId="37" fontId="36" fillId="15" borderId="0" xfId="0" applyNumberFormat="1" applyFont="1" applyFill="1" applyAlignment="1">
      <alignment horizontal="center"/>
    </xf>
    <xf numFmtId="37" fontId="36" fillId="13" borderId="2" xfId="0" applyNumberFormat="1" applyFont="1" applyFill="1" applyBorder="1" applyAlignment="1">
      <alignment horizontal="center"/>
    </xf>
    <xf numFmtId="5" fontId="36" fillId="16" borderId="0" xfId="0" applyNumberFormat="1" applyFont="1" applyFill="1" applyAlignment="1">
      <alignment horizontal="center"/>
    </xf>
    <xf numFmtId="5" fontId="36" fillId="16" borderId="2" xfId="0" applyNumberFormat="1" applyFont="1" applyFill="1" applyBorder="1" applyAlignment="1">
      <alignment horizontal="center"/>
    </xf>
    <xf numFmtId="164" fontId="42" fillId="16" borderId="0" xfId="0" applyNumberFormat="1" applyFont="1" applyFill="1" applyAlignment="1">
      <alignment horizontal="center"/>
    </xf>
    <xf numFmtId="164" fontId="42" fillId="12" borderId="2" xfId="0" applyNumberFormat="1" applyFont="1" applyFill="1" applyBorder="1" applyAlignment="1">
      <alignment horizontal="center"/>
    </xf>
    <xf numFmtId="165" fontId="36" fillId="12" borderId="2" xfId="0" applyNumberFormat="1" applyFont="1" applyFill="1" applyBorder="1" applyAlignment="1">
      <alignment horizontal="center"/>
    </xf>
    <xf numFmtId="165" fontId="36" fillId="12" borderId="0" xfId="0" applyNumberFormat="1" applyFont="1" applyFill="1" applyAlignment="1">
      <alignment horizontal="center"/>
    </xf>
    <xf numFmtId="164" fontId="43" fillId="12" borderId="0" xfId="0" applyNumberFormat="1" applyFont="1" applyFill="1" applyAlignment="1">
      <alignment horizontal="center"/>
    </xf>
    <xf numFmtId="0" fontId="35" fillId="3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13" fillId="0" borderId="3" xfId="0" applyFont="1" applyBorder="1" applyAlignment="1">
      <alignment horizontal="center"/>
    </xf>
    <xf numFmtId="3" fontId="36" fillId="12" borderId="2" xfId="0" applyNumberFormat="1" applyFont="1" applyFill="1" applyBorder="1" applyAlignment="1">
      <alignment horizontal="center"/>
    </xf>
    <xf numFmtId="7" fontId="36" fillId="12" borderId="2" xfId="0" applyNumberFormat="1" applyFont="1" applyFill="1" applyBorder="1" applyAlignment="1">
      <alignment horizontal="center"/>
    </xf>
    <xf numFmtId="0" fontId="35" fillId="0" borderId="2" xfId="0" applyFont="1" applyBorder="1" applyAlignment="1">
      <alignment horizontal="center"/>
    </xf>
    <xf numFmtId="0" fontId="35" fillId="5" borderId="0" xfId="0" applyFont="1" applyFill="1" applyAlignment="1">
      <alignment horizontal="center"/>
    </xf>
    <xf numFmtId="0" fontId="35" fillId="6" borderId="0" xfId="0" applyFont="1" applyFill="1" applyAlignment="1">
      <alignment horizontal="center"/>
    </xf>
    <xf numFmtId="0" fontId="35" fillId="7" borderId="0" xfId="0" applyFont="1" applyFill="1" applyAlignment="1">
      <alignment horizontal="center"/>
    </xf>
    <xf numFmtId="164" fontId="42" fillId="12" borderId="0" xfId="0" applyNumberFormat="1" applyFont="1" applyFill="1" applyAlignment="1">
      <alignment horizontal="center"/>
    </xf>
    <xf numFmtId="7" fontId="37" fillId="13" borderId="0" xfId="0" applyNumberFormat="1" applyFont="1" applyFill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5" borderId="2" xfId="0" applyFont="1" applyFill="1" applyBorder="1" applyAlignment="1">
      <alignment horizontal="center"/>
    </xf>
    <xf numFmtId="0" fontId="35" fillId="6" borderId="2" xfId="0" applyFont="1" applyFill="1" applyBorder="1" applyAlignment="1">
      <alignment horizontal="center"/>
    </xf>
    <xf numFmtId="0" fontId="35" fillId="7" borderId="2" xfId="0" applyFont="1" applyFill="1" applyBorder="1" applyAlignment="1">
      <alignment horizontal="center"/>
    </xf>
    <xf numFmtId="164" fontId="41" fillId="12" borderId="0" xfId="0" applyNumberFormat="1" applyFont="1" applyFill="1" applyAlignment="1">
      <alignment horizontal="center"/>
    </xf>
    <xf numFmtId="37" fontId="35" fillId="12" borderId="0" xfId="0" applyNumberFormat="1" applyFont="1" applyFill="1" applyAlignment="1">
      <alignment horizontal="center"/>
    </xf>
    <xf numFmtId="37" fontId="35" fillId="12" borderId="2" xfId="0" applyNumberFormat="1" applyFont="1" applyFill="1" applyBorder="1" applyAlignment="1">
      <alignment horizontal="center"/>
    </xf>
    <xf numFmtId="37" fontId="38" fillId="12" borderId="2" xfId="0" applyNumberFormat="1" applyFont="1" applyFill="1" applyBorder="1" applyAlignment="1">
      <alignment horizontal="center"/>
    </xf>
    <xf numFmtId="37" fontId="33" fillId="12" borderId="2" xfId="0" applyNumberFormat="1" applyFont="1" applyFill="1" applyBorder="1" applyAlignment="1">
      <alignment horizontal="center"/>
    </xf>
    <xf numFmtId="7" fontId="35" fillId="12" borderId="0" xfId="0" applyNumberFormat="1" applyFont="1" applyFill="1" applyAlignment="1">
      <alignment horizontal="center"/>
    </xf>
    <xf numFmtId="7" fontId="35" fillId="12" borderId="2" xfId="0" applyNumberFormat="1" applyFont="1" applyFill="1" applyBorder="1" applyAlignment="1">
      <alignment horizontal="center"/>
    </xf>
    <xf numFmtId="164" fontId="45" fillId="12" borderId="0" xfId="0" applyNumberFormat="1" applyFont="1" applyFill="1" applyAlignment="1">
      <alignment horizontal="center"/>
    </xf>
    <xf numFmtId="164" fontId="46" fillId="12" borderId="0" xfId="0" applyNumberFormat="1" applyFont="1" applyFill="1" applyAlignment="1">
      <alignment horizontal="center"/>
    </xf>
    <xf numFmtId="164" fontId="45" fillId="13" borderId="0" xfId="0" applyNumberFormat="1" applyFont="1" applyFill="1" applyAlignment="1">
      <alignment horizontal="center"/>
    </xf>
    <xf numFmtId="37" fontId="35" fillId="13" borderId="0" xfId="0" applyNumberFormat="1" applyFont="1" applyFill="1" applyAlignment="1">
      <alignment horizontal="center"/>
    </xf>
    <xf numFmtId="37" fontId="35" fillId="12" borderId="3" xfId="0" applyNumberFormat="1" applyFont="1" applyFill="1" applyBorder="1" applyAlignment="1">
      <alignment horizontal="center"/>
    </xf>
    <xf numFmtId="0" fontId="33" fillId="0" borderId="0" xfId="0" applyFont="1" applyFill="1"/>
    <xf numFmtId="37" fontId="36" fillId="13" borderId="3" xfId="0" applyNumberFormat="1" applyFont="1" applyFill="1" applyBorder="1" applyAlignment="1">
      <alignment horizontal="center"/>
    </xf>
    <xf numFmtId="37" fontId="39" fillId="13" borderId="0" xfId="0" applyNumberFormat="1" applyFont="1" applyFill="1" applyAlignment="1">
      <alignment horizontal="center"/>
    </xf>
    <xf numFmtId="37" fontId="39" fillId="13" borderId="2" xfId="0" applyNumberFormat="1" applyFont="1" applyFill="1" applyBorder="1" applyAlignment="1">
      <alignment horizontal="center"/>
    </xf>
    <xf numFmtId="7" fontId="33" fillId="12" borderId="2" xfId="0" applyNumberFormat="1" applyFont="1" applyFill="1" applyBorder="1" applyAlignment="1">
      <alignment horizontal="center"/>
    </xf>
    <xf numFmtId="3" fontId="33" fillId="12" borderId="2" xfId="0" applyNumberFormat="1" applyFont="1" applyFill="1" applyBorder="1" applyAlignment="1">
      <alignment horizontal="center"/>
    </xf>
    <xf numFmtId="3" fontId="33" fillId="12" borderId="0" xfId="0" applyNumberFormat="1" applyFont="1" applyFill="1" applyAlignment="1">
      <alignment horizontal="center"/>
    </xf>
    <xf numFmtId="37" fontId="38" fillId="12" borderId="3" xfId="0" applyNumberFormat="1" applyFont="1" applyFill="1" applyBorder="1" applyAlignment="1">
      <alignment horizontal="center"/>
    </xf>
    <xf numFmtId="37" fontId="38" fillId="13" borderId="1" xfId="0" applyNumberFormat="1" applyFont="1" applyFill="1" applyBorder="1" applyAlignment="1">
      <alignment horizontal="center"/>
    </xf>
    <xf numFmtId="165" fontId="39" fillId="12" borderId="0" xfId="0" applyNumberFormat="1" applyFont="1" applyFill="1" applyAlignment="1">
      <alignment horizontal="center"/>
    </xf>
    <xf numFmtId="0" fontId="39" fillId="0" borderId="0" xfId="0" applyFont="1" applyAlignment="1">
      <alignment horizontal="center"/>
    </xf>
    <xf numFmtId="164" fontId="9" fillId="12" borderId="2" xfId="0" applyNumberFormat="1" applyFont="1" applyFill="1" applyBorder="1" applyAlignment="1">
      <alignment horizontal="center"/>
    </xf>
    <xf numFmtId="164" fontId="9" fillId="13" borderId="0" xfId="0" applyNumberFormat="1" applyFont="1" applyFill="1" applyAlignment="1">
      <alignment horizontal="center"/>
    </xf>
    <xf numFmtId="164" fontId="10" fillId="11" borderId="0" xfId="0" applyNumberFormat="1" applyFont="1" applyFill="1" applyAlignment="1">
      <alignment horizontal="center"/>
    </xf>
    <xf numFmtId="10" fontId="9" fillId="13" borderId="0" xfId="0" applyNumberFormat="1" applyFont="1" applyFill="1" applyAlignment="1">
      <alignment horizontal="center"/>
    </xf>
    <xf numFmtId="10" fontId="9" fillId="12" borderId="0" xfId="0" applyNumberFormat="1" applyFont="1" applyFill="1" applyAlignment="1">
      <alignment horizontal="center"/>
    </xf>
    <xf numFmtId="10" fontId="9" fillId="11" borderId="0" xfId="0" applyNumberFormat="1" applyFont="1" applyFill="1" applyAlignment="1">
      <alignment horizontal="center"/>
    </xf>
    <xf numFmtId="10" fontId="9" fillId="14" borderId="0" xfId="0" applyNumberFormat="1" applyFont="1" applyFill="1" applyAlignment="1">
      <alignment horizontal="center"/>
    </xf>
    <xf numFmtId="164" fontId="9" fillId="14" borderId="0" xfId="0" applyNumberFormat="1" applyFont="1" applyFill="1" applyAlignment="1">
      <alignment horizontal="center"/>
    </xf>
    <xf numFmtId="10" fontId="10" fillId="11" borderId="0" xfId="0" applyNumberFormat="1" applyFont="1" applyFill="1" applyAlignment="1">
      <alignment horizontal="center"/>
    </xf>
    <xf numFmtId="10" fontId="10" fillId="14" borderId="0" xfId="0" applyNumberFormat="1" applyFont="1" applyFill="1" applyAlignment="1">
      <alignment horizontal="center"/>
    </xf>
    <xf numFmtId="164" fontId="10" fillId="12" borderId="2" xfId="0" applyNumberFormat="1" applyFont="1" applyFill="1" applyBorder="1" applyAlignment="1">
      <alignment horizontal="center"/>
    </xf>
    <xf numFmtId="164" fontId="10" fillId="14" borderId="0" xfId="0" applyNumberFormat="1" applyFont="1" applyFill="1" applyAlignment="1">
      <alignment horizontal="center"/>
    </xf>
    <xf numFmtId="164" fontId="10" fillId="12" borderId="0" xfId="0" applyNumberFormat="1" applyFont="1" applyFill="1" applyAlignment="1">
      <alignment horizontal="center"/>
    </xf>
    <xf numFmtId="5" fontId="2" fillId="16" borderId="0" xfId="0" applyNumberFormat="1" applyFont="1" applyFill="1" applyAlignment="1">
      <alignment horizontal="center"/>
    </xf>
    <xf numFmtId="5" fontId="14" fillId="16" borderId="0" xfId="0" applyNumberFormat="1" applyFont="1" applyFill="1" applyAlignment="1">
      <alignment horizontal="center"/>
    </xf>
    <xf numFmtId="5" fontId="0" fillId="12" borderId="2" xfId="0" applyNumberFormat="1" applyFill="1" applyBorder="1" applyAlignment="1">
      <alignment horizontal="center"/>
    </xf>
    <xf numFmtId="169" fontId="32" fillId="17" borderId="32" xfId="2" applyNumberFormat="1" applyFont="1" applyFill="1" applyBorder="1"/>
    <xf numFmtId="169" fontId="32" fillId="17" borderId="31" xfId="2" applyNumberFormat="1" applyFont="1" applyFill="1" applyBorder="1"/>
    <xf numFmtId="168" fontId="24" fillId="17" borderId="4" xfId="2" applyNumberFormat="1" applyFont="1" applyFill="1" applyBorder="1"/>
    <xf numFmtId="168" fontId="24" fillId="17" borderId="29" xfId="2" applyNumberFormat="1" applyFont="1" applyFill="1" applyBorder="1"/>
    <xf numFmtId="168" fontId="24" fillId="17" borderId="0" xfId="2" applyNumberFormat="1" applyFont="1" applyFill="1" applyBorder="1"/>
    <xf numFmtId="168" fontId="24" fillId="17" borderId="5" xfId="2" applyNumberFormat="1" applyFont="1" applyFill="1" applyBorder="1"/>
    <xf numFmtId="168" fontId="32" fillId="12" borderId="0" xfId="2" applyNumberFormat="1" applyFont="1" applyFill="1" applyBorder="1"/>
    <xf numFmtId="168" fontId="32" fillId="12" borderId="5" xfId="2" applyNumberFormat="1" applyFont="1" applyFill="1" applyBorder="1"/>
    <xf numFmtId="168" fontId="18" fillId="12" borderId="0" xfId="2" applyNumberFormat="1" applyFont="1" applyFill="1" applyBorder="1" applyAlignment="1">
      <alignment horizontal="center"/>
    </xf>
    <xf numFmtId="169" fontId="32" fillId="12" borderId="0" xfId="2" applyNumberFormat="1" applyFont="1" applyFill="1" applyBorder="1"/>
    <xf numFmtId="169" fontId="32" fillId="12" borderId="5" xfId="2" applyNumberFormat="1" applyFont="1" applyFill="1" applyBorder="1"/>
    <xf numFmtId="169" fontId="18" fillId="12" borderId="0" xfId="2" applyNumberFormat="1" applyFont="1" applyFill="1" applyBorder="1" applyAlignment="1">
      <alignment horizontal="center"/>
    </xf>
    <xf numFmtId="169" fontId="18" fillId="17" borderId="0" xfId="2" applyNumberFormat="1" applyFont="1" applyFill="1" applyBorder="1" applyAlignment="1">
      <alignment horizontal="center"/>
    </xf>
    <xf numFmtId="168" fontId="16" fillId="17" borderId="4" xfId="2" applyNumberFormat="1" applyFont="1" applyFill="1" applyBorder="1" applyAlignment="1">
      <alignment horizontal="center"/>
    </xf>
    <xf numFmtId="168" fontId="24" fillId="12" borderId="0" xfId="2" applyNumberFormat="1" applyFont="1" applyFill="1" applyBorder="1"/>
    <xf numFmtId="168" fontId="24" fillId="12" borderId="5" xfId="2" applyNumberFormat="1" applyFont="1" applyFill="1" applyBorder="1"/>
    <xf numFmtId="168" fontId="16" fillId="12" borderId="0" xfId="2" applyNumberFormat="1" applyFont="1" applyFill="1" applyBorder="1" applyAlignment="1">
      <alignment horizontal="center"/>
    </xf>
    <xf numFmtId="168" fontId="16" fillId="17" borderId="0" xfId="2" applyNumberFormat="1" applyFont="1" applyFill="1" applyBorder="1" applyAlignment="1">
      <alignment horizontal="center"/>
    </xf>
    <xf numFmtId="169" fontId="32" fillId="12" borderId="25" xfId="2" applyNumberFormat="1" applyFont="1" applyFill="1" applyBorder="1"/>
    <xf numFmtId="169" fontId="32" fillId="12" borderId="26" xfId="2" applyNumberFormat="1" applyFont="1" applyFill="1" applyBorder="1"/>
    <xf numFmtId="169" fontId="18" fillId="12" borderId="25" xfId="2" applyNumberFormat="1" applyFont="1" applyFill="1" applyBorder="1" applyAlignment="1">
      <alignment horizontal="center"/>
    </xf>
    <xf numFmtId="169" fontId="16" fillId="12" borderId="9" xfId="2" applyNumberFormat="1" applyFont="1" applyFill="1" applyBorder="1" applyAlignment="1">
      <alignment horizontal="center"/>
    </xf>
    <xf numFmtId="168" fontId="24" fillId="17" borderId="6" xfId="2" applyNumberFormat="1" applyFont="1" applyFill="1" applyBorder="1"/>
    <xf numFmtId="170" fontId="24" fillId="17" borderId="11" xfId="3" applyNumberFormat="1" applyFont="1" applyFill="1" applyBorder="1"/>
    <xf numFmtId="164" fontId="16" fillId="12" borderId="11" xfId="3" applyNumberFormat="1" applyFont="1" applyFill="1" applyBorder="1"/>
    <xf numFmtId="164" fontId="16" fillId="12" borderId="6" xfId="3" applyNumberFormat="1" applyFont="1" applyFill="1" applyBorder="1"/>
    <xf numFmtId="10" fontId="18" fillId="12" borderId="6" xfId="2" applyNumberFormat="1" applyFont="1" applyFill="1" applyBorder="1"/>
    <xf numFmtId="10" fontId="18" fillId="12" borderId="11" xfId="3" applyNumberFormat="1" applyFont="1" applyFill="1" applyBorder="1"/>
    <xf numFmtId="10" fontId="21" fillId="12" borderId="11" xfId="3" applyNumberFormat="1" applyFont="1" applyFill="1" applyBorder="1"/>
    <xf numFmtId="10" fontId="22" fillId="11" borderId="11" xfId="3" applyNumberFormat="1" applyFont="1" applyFill="1" applyBorder="1"/>
    <xf numFmtId="0" fontId="22" fillId="11" borderId="11" xfId="2" applyNumberFormat="1" applyFont="1" applyFill="1" applyBorder="1"/>
    <xf numFmtId="10" fontId="22" fillId="11" borderId="6" xfId="3" applyNumberFormat="1" applyFont="1" applyFill="1" applyBorder="1"/>
    <xf numFmtId="164" fontId="24" fillId="11" borderId="11" xfId="3" applyNumberFormat="1" applyFont="1" applyFill="1" applyBorder="1"/>
    <xf numFmtId="167" fontId="24" fillId="11" borderId="11" xfId="2" applyNumberFormat="1" applyFont="1" applyFill="1" applyBorder="1"/>
    <xf numFmtId="170" fontId="25" fillId="12" borderId="11" xfId="3" applyNumberFormat="1" applyFont="1" applyFill="1" applyBorder="1"/>
    <xf numFmtId="170" fontId="24" fillId="12" borderId="6" xfId="3" applyNumberFormat="1" applyFont="1" applyFill="1" applyBorder="1"/>
    <xf numFmtId="169" fontId="18" fillId="12" borderId="11" xfId="2" applyNumberFormat="1" applyFont="1" applyFill="1" applyBorder="1"/>
    <xf numFmtId="168" fontId="16" fillId="13" borderId="16" xfId="2" applyNumberFormat="1" applyFont="1" applyFill="1" applyBorder="1"/>
    <xf numFmtId="168" fontId="16" fillId="13" borderId="6" xfId="2" applyNumberFormat="1" applyFont="1" applyFill="1" applyBorder="1"/>
    <xf numFmtId="168" fontId="16" fillId="13" borderId="11" xfId="2" applyNumberFormat="1" applyFont="1" applyFill="1" applyBorder="1"/>
    <xf numFmtId="164" fontId="21" fillId="11" borderId="11" xfId="3" applyNumberFormat="1" applyFont="1" applyFill="1" applyBorder="1"/>
    <xf numFmtId="166" fontId="21" fillId="11" borderId="11" xfId="2" applyNumberFormat="1" applyFont="1" applyFill="1" applyBorder="1"/>
    <xf numFmtId="168" fontId="16" fillId="12" borderId="11" xfId="2" applyNumberFormat="1" applyFont="1" applyFill="1" applyBorder="1"/>
    <xf numFmtId="168" fontId="16" fillId="12" borderId="6" xfId="2" applyNumberFormat="1" applyFont="1" applyFill="1" applyBorder="1"/>
    <xf numFmtId="168" fontId="18" fillId="12" borderId="11" xfId="2" applyNumberFormat="1" applyFont="1" applyFill="1" applyBorder="1"/>
    <xf numFmtId="167" fontId="17" fillId="12" borderId="11" xfId="2" applyNumberFormat="1" applyFont="1" applyFill="1" applyBorder="1"/>
    <xf numFmtId="164" fontId="18" fillId="12" borderId="11" xfId="3" applyNumberFormat="1" applyFont="1" applyFill="1" applyBorder="1"/>
    <xf numFmtId="166" fontId="17" fillId="12" borderId="11" xfId="2" applyNumberFormat="1" applyFont="1" applyFill="1" applyBorder="1"/>
    <xf numFmtId="166" fontId="17" fillId="12" borderId="6" xfId="2" applyNumberFormat="1" applyFont="1" applyFill="1" applyBorder="1"/>
    <xf numFmtId="173" fontId="4" fillId="11" borderId="39" xfId="0" applyNumberFormat="1" applyFont="1" applyFill="1" applyBorder="1" applyAlignment="1">
      <alignment horizontal="center"/>
    </xf>
    <xf numFmtId="173" fontId="4" fillId="11" borderId="1" xfId="0" applyNumberFormat="1" applyFont="1" applyFill="1" applyBorder="1" applyAlignment="1">
      <alignment horizontal="center"/>
    </xf>
    <xf numFmtId="173" fontId="0" fillId="11" borderId="38" xfId="0" applyNumberFormat="1" applyFill="1" applyBorder="1" applyAlignment="1">
      <alignment horizontal="center"/>
    </xf>
    <xf numFmtId="173" fontId="0" fillId="11" borderId="0" xfId="0" applyNumberFormat="1" applyFill="1" applyAlignment="1">
      <alignment horizontal="center"/>
    </xf>
    <xf numFmtId="164" fontId="6" fillId="12" borderId="38" xfId="0" applyNumberFormat="1" applyFont="1" applyFill="1" applyBorder="1" applyAlignment="1">
      <alignment horizontal="center"/>
    </xf>
    <xf numFmtId="173" fontId="0" fillId="12" borderId="1" xfId="0" applyNumberFormat="1" applyFill="1" applyBorder="1" applyAlignment="1">
      <alignment horizontal="center"/>
    </xf>
    <xf numFmtId="10" fontId="6" fillId="12" borderId="1" xfId="0" applyNumberFormat="1" applyFont="1" applyFill="1" applyBorder="1" applyAlignment="1">
      <alignment horizontal="center"/>
    </xf>
    <xf numFmtId="10" fontId="63" fillId="11" borderId="1" xfId="0" applyNumberFormat="1" applyFont="1" applyFill="1" applyBorder="1" applyAlignment="1">
      <alignment horizontal="center"/>
    </xf>
    <xf numFmtId="10" fontId="6" fillId="11" borderId="0" xfId="0" applyNumberFormat="1" applyFont="1" applyFill="1" applyAlignment="1">
      <alignment horizontal="center"/>
    </xf>
    <xf numFmtId="173" fontId="4" fillId="12" borderId="1" xfId="0" applyNumberFormat="1" applyFont="1" applyFill="1" applyBorder="1" applyAlignment="1">
      <alignment horizontal="center"/>
    </xf>
    <xf numFmtId="173" fontId="0" fillId="12" borderId="0" xfId="0" applyNumberFormat="1" applyFill="1" applyAlignment="1">
      <alignment horizontal="center"/>
    </xf>
    <xf numFmtId="2" fontId="0" fillId="17" borderId="0" xfId="0" applyNumberFormat="1" applyFont="1" applyFill="1"/>
    <xf numFmtId="9" fontId="56" fillId="11" borderId="0" xfId="0" applyNumberFormat="1" applyFont="1" applyFill="1" applyAlignment="1">
      <alignment horizontal="center"/>
    </xf>
    <xf numFmtId="9" fontId="56" fillId="11" borderId="42" xfId="0" applyNumberFormat="1" applyFont="1" applyFill="1" applyBorder="1" applyAlignment="1">
      <alignment horizontal="center"/>
    </xf>
    <xf numFmtId="0" fontId="56" fillId="11" borderId="42" xfId="0" applyFont="1" applyFill="1" applyBorder="1"/>
    <xf numFmtId="0" fontId="56" fillId="11" borderId="0" xfId="0" applyFont="1" applyFill="1"/>
    <xf numFmtId="10" fontId="56" fillId="12" borderId="40" xfId="0" applyNumberFormat="1" applyFont="1" applyFill="1" applyBorder="1" applyAlignment="1"/>
    <xf numFmtId="10" fontId="56" fillId="11" borderId="40" xfId="0" applyNumberFormat="1" applyFont="1" applyFill="1" applyBorder="1" applyAlignment="1"/>
    <xf numFmtId="10" fontId="56" fillId="11" borderId="41" xfId="0" applyNumberFormat="1" applyFont="1" applyFill="1" applyBorder="1" applyAlignment="1"/>
    <xf numFmtId="164" fontId="56" fillId="13" borderId="41" xfId="0" applyNumberFormat="1" applyFont="1" applyFill="1" applyBorder="1" applyAlignment="1"/>
    <xf numFmtId="44" fontId="56" fillId="12" borderId="40" xfId="0" applyNumberFormat="1" applyFont="1" applyFill="1" applyBorder="1" applyAlignment="1"/>
    <xf numFmtId="44" fontId="56" fillId="12" borderId="41" xfId="0" applyNumberFormat="1" applyFont="1" applyFill="1" applyBorder="1" applyAlignment="1"/>
    <xf numFmtId="164" fontId="56" fillId="12" borderId="41" xfId="0" applyNumberFormat="1" applyFont="1" applyFill="1" applyBorder="1" applyAlignment="1"/>
    <xf numFmtId="0" fontId="61" fillId="11" borderId="0" xfId="0" applyFont="1" applyFill="1" applyAlignment="1">
      <alignment horizontal="left"/>
    </xf>
    <xf numFmtId="0" fontId="61" fillId="11" borderId="0" xfId="0" applyFont="1" applyFill="1"/>
    <xf numFmtId="0" fontId="61" fillId="11" borderId="0" xfId="0" applyFont="1" applyFill="1" applyAlignment="1">
      <alignment horizontal="center"/>
    </xf>
    <xf numFmtId="0" fontId="61" fillId="11" borderId="40" xfId="0" applyFont="1" applyFill="1" applyBorder="1" applyAlignment="1"/>
    <xf numFmtId="0" fontId="61" fillId="11" borderId="43" xfId="0" applyFont="1" applyFill="1" applyBorder="1" applyAlignment="1">
      <alignment horizontal="left"/>
    </xf>
    <xf numFmtId="0" fontId="61" fillId="11" borderId="42" xfId="0" applyFont="1" applyFill="1" applyBorder="1"/>
    <xf numFmtId="0" fontId="61" fillId="11" borderId="42" xfId="0" applyFont="1" applyFill="1" applyBorder="1" applyAlignment="1">
      <alignment horizontal="center"/>
    </xf>
    <xf numFmtId="0" fontId="61" fillId="11" borderId="42" xfId="0" applyFont="1" applyFill="1" applyBorder="1" applyAlignment="1">
      <alignment horizontal="left"/>
    </xf>
    <xf numFmtId="0" fontId="61" fillId="11" borderId="41" xfId="0" applyFont="1" applyFill="1" applyBorder="1" applyAlignment="1"/>
    <xf numFmtId="0" fontId="61" fillId="11" borderId="43" xfId="0" applyFont="1" applyFill="1" applyBorder="1"/>
    <xf numFmtId="0" fontId="0" fillId="11" borderId="0" xfId="0" applyFill="1" applyAlignment="1">
      <alignment horizontal="center"/>
    </xf>
    <xf numFmtId="0" fontId="69" fillId="11" borderId="0" xfId="0" applyFont="1" applyFill="1"/>
    <xf numFmtId="0" fontId="65" fillId="11" borderId="0" xfId="0" applyFont="1" applyFill="1"/>
    <xf numFmtId="0" fontId="69" fillId="11" borderId="18" xfId="0" applyFont="1" applyFill="1" applyBorder="1"/>
    <xf numFmtId="0" fontId="65" fillId="11" borderId="18" xfId="0" applyFont="1" applyFill="1" applyBorder="1"/>
    <xf numFmtId="0" fontId="69" fillId="11" borderId="0" xfId="0" applyFont="1" applyFill="1" applyAlignment="1">
      <alignment horizontal="left"/>
    </xf>
    <xf numFmtId="8" fontId="69" fillId="11" borderId="0" xfId="0" applyNumberFormat="1" applyFont="1" applyFill="1" applyAlignment="1">
      <alignment horizontal="left"/>
    </xf>
    <xf numFmtId="164" fontId="69" fillId="13" borderId="18" xfId="0" applyNumberFormat="1" applyFont="1" applyFill="1" applyBorder="1" applyAlignment="1">
      <alignment horizontal="left"/>
    </xf>
    <xf numFmtId="0" fontId="56" fillId="11" borderId="40" xfId="0" applyFont="1" applyFill="1" applyBorder="1" applyAlignment="1"/>
    <xf numFmtId="0" fontId="0" fillId="11" borderId="0" xfId="0" applyFill="1"/>
    <xf numFmtId="7" fontId="0" fillId="17" borderId="0" xfId="0" applyNumberFormat="1" applyFill="1"/>
    <xf numFmtId="173" fontId="0" fillId="12" borderId="0" xfId="0" applyNumberFormat="1" applyFill="1"/>
    <xf numFmtId="0" fontId="0" fillId="12" borderId="0" xfId="0" applyFill="1"/>
    <xf numFmtId="5" fontId="0" fillId="17" borderId="0" xfId="0" applyNumberFormat="1" applyFill="1"/>
    <xf numFmtId="173" fontId="0" fillId="11" borderId="0" xfId="0" applyNumberFormat="1" applyFill="1"/>
    <xf numFmtId="8" fontId="0" fillId="12" borderId="48" xfId="0" applyNumberFormat="1" applyFill="1" applyBorder="1"/>
    <xf numFmtId="8" fontId="0" fillId="12" borderId="11" xfId="0" applyNumberFormat="1" applyFill="1" applyBorder="1" applyAlignment="1">
      <alignment horizontal="center"/>
    </xf>
    <xf numFmtId="0" fontId="0" fillId="12" borderId="48" xfId="0" applyFill="1" applyBorder="1" applyAlignment="1">
      <alignment horizontal="center"/>
    </xf>
    <xf numFmtId="9" fontId="0" fillId="11" borderId="47" xfId="0" applyNumberFormat="1" applyFont="1" applyFill="1" applyBorder="1" applyAlignment="1">
      <alignment vertical="top" wrapText="1"/>
    </xf>
    <xf numFmtId="175" fontId="0" fillId="11" borderId="0" xfId="0" applyNumberFormat="1" applyFill="1" applyAlignment="1">
      <alignment horizontal="center" vertical="center"/>
    </xf>
    <xf numFmtId="175" fontId="0" fillId="11" borderId="11" xfId="0" applyNumberFormat="1" applyFill="1" applyBorder="1" applyAlignment="1">
      <alignment horizontal="center" vertical="center"/>
    </xf>
    <xf numFmtId="0" fontId="56" fillId="11" borderId="41" xfId="0" applyFont="1" applyFill="1" applyBorder="1" applyAlignment="1"/>
    <xf numFmtId="3" fontId="70" fillId="11" borderId="0" xfId="0" applyNumberFormat="1" applyFont="1" applyFill="1" applyBorder="1" applyAlignment="1">
      <alignment horizontal="center" wrapText="1"/>
    </xf>
    <xf numFmtId="3" fontId="71" fillId="11" borderId="0" xfId="0" applyNumberFormat="1" applyFont="1" applyFill="1" applyBorder="1" applyAlignment="1">
      <alignment horizontal="center" wrapText="1"/>
    </xf>
    <xf numFmtId="164" fontId="0" fillId="12" borderId="0" xfId="0" applyNumberFormat="1" applyFill="1" applyBorder="1" applyAlignment="1">
      <alignment horizontal="center"/>
    </xf>
    <xf numFmtId="164" fontId="0" fillId="13" borderId="0" xfId="0" applyNumberFormat="1" applyFill="1" applyBorder="1" applyAlignment="1">
      <alignment horizontal="center"/>
    </xf>
    <xf numFmtId="164" fontId="0" fillId="13" borderId="0" xfId="0" applyNumberFormat="1" applyFill="1"/>
    <xf numFmtId="164" fontId="0" fillId="12" borderId="0" xfId="0" applyNumberFormat="1" applyFill="1"/>
    <xf numFmtId="0" fontId="72" fillId="11" borderId="0" xfId="0" applyFont="1" applyFill="1" applyAlignment="1">
      <alignment vertical="center"/>
    </xf>
    <xf numFmtId="0" fontId="73" fillId="11" borderId="0" xfId="0" applyFont="1" applyFill="1" applyAlignment="1">
      <alignment horizontal="left" vertical="center" indent="1"/>
    </xf>
    <xf numFmtId="3" fontId="37" fillId="13" borderId="0" xfId="0" applyNumberFormat="1" applyFont="1" applyFill="1" applyAlignment="1">
      <alignment horizontal="center"/>
    </xf>
    <xf numFmtId="37" fontId="36" fillId="13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18" fillId="8" borderId="20" xfId="2" applyFont="1" applyFill="1" applyBorder="1" applyAlignment="1">
      <alignment horizontal="center"/>
    </xf>
    <xf numFmtId="0" fontId="18" fillId="8" borderId="19" xfId="2" applyFont="1" applyFill="1" applyBorder="1" applyAlignment="1">
      <alignment horizontal="center"/>
    </xf>
    <xf numFmtId="0" fontId="18" fillId="8" borderId="14" xfId="2" applyFont="1" applyFill="1" applyBorder="1" applyAlignment="1">
      <alignment horizontal="right" vertical="center"/>
    </xf>
    <xf numFmtId="0" fontId="18" fillId="8" borderId="10" xfId="2" applyFont="1" applyFill="1" applyBorder="1" applyAlignment="1">
      <alignment horizontal="right" vertical="center"/>
    </xf>
    <xf numFmtId="0" fontId="20" fillId="8" borderId="21" xfId="2" applyFont="1" applyFill="1" applyBorder="1" applyAlignment="1">
      <alignment horizontal="center" vertical="center"/>
    </xf>
    <xf numFmtId="0" fontId="20" fillId="8" borderId="14" xfId="2" applyFont="1" applyFill="1" applyBorder="1" applyAlignment="1">
      <alignment horizontal="center" vertical="center"/>
    </xf>
    <xf numFmtId="0" fontId="23" fillId="10" borderId="24" xfId="2" applyFont="1" applyFill="1" applyBorder="1" applyAlignment="1">
      <alignment horizontal="center"/>
    </xf>
    <xf numFmtId="0" fontId="23" fillId="10" borderId="23" xfId="2" applyFont="1" applyFill="1" applyBorder="1" applyAlignment="1">
      <alignment horizontal="center"/>
    </xf>
    <xf numFmtId="0" fontId="23" fillId="10" borderId="22" xfId="2" applyFont="1" applyFill="1" applyBorder="1" applyAlignment="1">
      <alignment horizontal="center"/>
    </xf>
    <xf numFmtId="0" fontId="23" fillId="3" borderId="14" xfId="2" applyFont="1" applyFill="1" applyBorder="1" applyAlignment="1">
      <alignment horizontal="center"/>
    </xf>
    <xf numFmtId="0" fontId="23" fillId="3" borderId="0" xfId="2" applyFont="1" applyFill="1" applyBorder="1" applyAlignment="1">
      <alignment horizontal="center"/>
    </xf>
    <xf numFmtId="0" fontId="23" fillId="3" borderId="13" xfId="2" applyFont="1" applyFill="1" applyBorder="1" applyAlignment="1">
      <alignment horizontal="center"/>
    </xf>
    <xf numFmtId="0" fontId="21" fillId="9" borderId="37" xfId="5" applyFont="1" applyFill="1" applyBorder="1" applyAlignment="1">
      <alignment horizontal="center"/>
    </xf>
    <xf numFmtId="0" fontId="21" fillId="9" borderId="36" xfId="5" applyFont="1" applyFill="1" applyBorder="1" applyAlignment="1">
      <alignment horizontal="center"/>
    </xf>
    <xf numFmtId="0" fontId="18" fillId="8" borderId="14" xfId="2" applyFont="1" applyFill="1" applyBorder="1" applyAlignment="1">
      <alignment horizontal="center" vertical="center" wrapText="1"/>
    </xf>
    <xf numFmtId="0" fontId="18" fillId="8" borderId="10" xfId="2" applyFont="1" applyFill="1" applyBorder="1" applyAlignment="1">
      <alignment horizontal="center" vertical="center" wrapText="1"/>
    </xf>
    <xf numFmtId="0" fontId="54" fillId="10" borderId="0" xfId="0" applyFont="1" applyFill="1" applyAlignment="1">
      <alignment horizontal="center"/>
    </xf>
  </cellXfs>
  <cellStyles count="12">
    <cellStyle name="Currency 2" xfId="4" xr:uid="{00000000-0005-0000-0000-000000000000}"/>
    <cellStyle name="Followed Hyperlink" xfId="7" builtinId="9" hidden="1"/>
    <cellStyle name="Followed Hyperlink" xfId="9" builtinId="9" hidden="1"/>
    <cellStyle name="Followed Hyperlink" xfId="11" builtinId="9" hidden="1"/>
    <cellStyle name="Hyperlink" xfId="6" builtinId="8" hidden="1"/>
    <cellStyle name="Hyperlink" xfId="8" builtinId="8" hidden="1"/>
    <cellStyle name="Hyperlink" xfId="10" builtinId="8" hidden="1"/>
    <cellStyle name="Normal" xfId="0" builtinId="0"/>
    <cellStyle name="Normal 2" xfId="1" xr:uid="{00000000-0005-0000-0000-000008000000}"/>
    <cellStyle name="Normal 2 2" xfId="5" xr:uid="{00000000-0005-0000-0000-000009000000}"/>
    <cellStyle name="Normal 3" xfId="2" xr:uid="{00000000-0005-0000-0000-00000A000000}"/>
    <cellStyle name="Percent 2" xfId="3" xr:uid="{00000000-0005-0000-0000-00000B000000}"/>
  </cellStyles>
  <dxfs count="0"/>
  <tableStyles count="0" defaultTableStyle="TableStyleMedium2" defaultPivotStyle="PivotStyleLight16"/>
  <colors>
    <mruColors>
      <color rgb="FF990000"/>
      <color rgb="FF33CC33"/>
      <color rgb="FF0099FF"/>
      <color rgb="FFFF3300"/>
      <color rgb="FFE6E6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121303587051597"/>
          <c:y val="0.18834098862642201"/>
          <c:w val="0.41868525809273799"/>
          <c:h val="0.697808763487897"/>
        </c:manualLayout>
      </c:layout>
      <c:radarChart>
        <c:radarStyle val="marker"/>
        <c:varyColors val="0"/>
        <c:ser>
          <c:idx val="0"/>
          <c:order val="0"/>
          <c:spPr>
            <a:ln w="76200" cap="rnd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none"/>
          </c:marker>
          <c:cat>
            <c:strRef>
              <c:f>'SIDE PROJECTS'!$H$89:$H$93</c:f>
              <c:strCache>
                <c:ptCount val="5"/>
                <c:pt idx="0">
                  <c:v>Rivalry WITHIN THE INDUSTRY</c:v>
                </c:pt>
                <c:pt idx="1">
                  <c:v>THREAT OF NEW ENTRANTS</c:v>
                </c:pt>
                <c:pt idx="2">
                  <c:v>BARGAINING POWER OF CUSTOMERS</c:v>
                </c:pt>
                <c:pt idx="3">
                  <c:v>THREAT OF SUBSTITUTES</c:v>
                </c:pt>
                <c:pt idx="4">
                  <c:v>BARGAINING POWER OF SUPPLIERS</c:v>
                </c:pt>
              </c:strCache>
            </c:strRef>
          </c:cat>
          <c:val>
            <c:numRef>
              <c:f>'SIDE PROJECTS'!$I$89:$I$93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10-4B18-B16B-2499B48E99AE}"/>
            </c:ext>
          </c:extLst>
        </c:ser>
        <c:ser>
          <c:idx val="1"/>
          <c:order val="1"/>
          <c:spPr>
            <a:ln w="6667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none"/>
          </c:marker>
          <c:cat>
            <c:strRef>
              <c:f>'SIDE PROJECTS'!$H$89:$H$93</c:f>
              <c:strCache>
                <c:ptCount val="5"/>
                <c:pt idx="0">
                  <c:v>Rivalry WITHIN THE INDUSTRY</c:v>
                </c:pt>
                <c:pt idx="1">
                  <c:v>THREAT OF NEW ENTRANTS</c:v>
                </c:pt>
                <c:pt idx="2">
                  <c:v>BARGAINING POWER OF CUSTOMERS</c:v>
                </c:pt>
                <c:pt idx="3">
                  <c:v>THREAT OF SUBSTITUTES</c:v>
                </c:pt>
                <c:pt idx="4">
                  <c:v>BARGAINING POWER OF SUPPLIERS</c:v>
                </c:pt>
              </c:strCache>
            </c:strRef>
          </c:cat>
          <c:val>
            <c:numRef>
              <c:f>'SIDE PROJECTS'!$J$89:$J$93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10-4B18-B16B-2499B48E99AE}"/>
            </c:ext>
          </c:extLst>
        </c:ser>
        <c:ser>
          <c:idx val="2"/>
          <c:order val="2"/>
          <c:spPr>
            <a:ln w="63500" cap="rnd">
              <a:solidFill>
                <a:schemeClr val="tx2">
                  <a:lumMod val="7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none"/>
          </c:marker>
          <c:cat>
            <c:strRef>
              <c:f>'SIDE PROJECTS'!$H$89:$H$93</c:f>
              <c:strCache>
                <c:ptCount val="5"/>
                <c:pt idx="0">
                  <c:v>Rivalry WITHIN THE INDUSTRY</c:v>
                </c:pt>
                <c:pt idx="1">
                  <c:v>THREAT OF NEW ENTRANTS</c:v>
                </c:pt>
                <c:pt idx="2">
                  <c:v>BARGAINING POWER OF CUSTOMERS</c:v>
                </c:pt>
                <c:pt idx="3">
                  <c:v>THREAT OF SUBSTITUTES</c:v>
                </c:pt>
                <c:pt idx="4">
                  <c:v>BARGAINING POWER OF SUPPLIERS</c:v>
                </c:pt>
              </c:strCache>
            </c:strRef>
          </c:cat>
          <c:val>
            <c:numRef>
              <c:f>'SIDE PROJECTS'!$K$89:$K$93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10-4B18-B16B-2499B48E99AE}"/>
            </c:ext>
          </c:extLst>
        </c:ser>
        <c:ser>
          <c:idx val="3"/>
          <c:order val="3"/>
          <c:spPr>
            <a:ln w="698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none"/>
          </c:marker>
          <c:cat>
            <c:strRef>
              <c:f>'SIDE PROJECTS'!$H$89:$H$93</c:f>
              <c:strCache>
                <c:ptCount val="5"/>
                <c:pt idx="0">
                  <c:v>Rivalry WITHIN THE INDUSTRY</c:v>
                </c:pt>
                <c:pt idx="1">
                  <c:v>THREAT OF NEW ENTRANTS</c:v>
                </c:pt>
                <c:pt idx="2">
                  <c:v>BARGAINING POWER OF CUSTOMERS</c:v>
                </c:pt>
                <c:pt idx="3">
                  <c:v>THREAT OF SUBSTITUTES</c:v>
                </c:pt>
                <c:pt idx="4">
                  <c:v>BARGAINING POWER OF SUPPLIERS</c:v>
                </c:pt>
              </c:strCache>
            </c:strRef>
          </c:cat>
          <c:val>
            <c:numRef>
              <c:f>'SIDE PROJECTS'!$L$89:$L$93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10-4B18-B16B-2499B48E99AE}"/>
            </c:ext>
          </c:extLst>
        </c:ser>
        <c:ser>
          <c:idx val="4"/>
          <c:order val="4"/>
          <c:spPr>
            <a:ln w="25400" cap="rnd">
              <a:solidFill>
                <a:srgbClr val="00B0F0"/>
              </a:solidFill>
              <a:round/>
            </a:ln>
            <a:effectLst>
              <a:softEdge rad="0"/>
            </a:effectLst>
          </c:spPr>
          <c:marker>
            <c:symbol val="none"/>
          </c:marker>
          <c:cat>
            <c:strRef>
              <c:f>'SIDE PROJECTS'!$H$89:$H$93</c:f>
              <c:strCache>
                <c:ptCount val="5"/>
                <c:pt idx="0">
                  <c:v>Rivalry WITHIN THE INDUSTRY</c:v>
                </c:pt>
                <c:pt idx="1">
                  <c:v>THREAT OF NEW ENTRANTS</c:v>
                </c:pt>
                <c:pt idx="2">
                  <c:v>BARGAINING POWER OF CUSTOMERS</c:v>
                </c:pt>
                <c:pt idx="3">
                  <c:v>THREAT OF SUBSTITUTES</c:v>
                </c:pt>
                <c:pt idx="4">
                  <c:v>BARGAINING POWER OF SUPPLIERS</c:v>
                </c:pt>
              </c:strCache>
            </c:strRef>
          </c:cat>
          <c:val>
            <c:numRef>
              <c:f>'SIDE PROJECTS'!$N$89:$N$93</c:f>
              <c:numCache>
                <c:formatCode>General</c:formatCode>
                <c:ptCount val="5"/>
                <c:pt idx="0">
                  <c:v>4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910-4B18-B16B-2499B48E9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38205408"/>
        <c:axId val="-1097116560"/>
      </c:radarChart>
      <c:catAx>
        <c:axId val="-113820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97116560"/>
        <c:crosses val="autoZero"/>
        <c:auto val="1"/>
        <c:lblAlgn val="ctr"/>
        <c:lblOffset val="100"/>
        <c:noMultiLvlLbl val="0"/>
      </c:catAx>
      <c:valAx>
        <c:axId val="-109711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3820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'SIDE PROJECTS'!$J$134</c:f>
              <c:strCache>
                <c:ptCount val="1"/>
                <c:pt idx="0">
                  <c:v>EPS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rgbClr val="33CC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311-4408-A047-83F0992B2C69}"/>
              </c:ext>
            </c:extLst>
          </c:dPt>
          <c:dPt>
            <c:idx val="5"/>
            <c:invertIfNegative val="0"/>
            <c:bubble3D val="0"/>
            <c:spPr>
              <a:solidFill>
                <a:srgbClr val="33CC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311-4408-A047-83F0992B2C69}"/>
              </c:ext>
            </c:extLst>
          </c:dPt>
          <c:dPt>
            <c:idx val="6"/>
            <c:invertIfNegative val="0"/>
            <c:bubble3D val="0"/>
            <c:spPr>
              <a:solidFill>
                <a:srgbClr val="33CC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4311-4408-A047-83F0992B2C69}"/>
              </c:ext>
            </c:extLst>
          </c:dPt>
          <c:dPt>
            <c:idx val="7"/>
            <c:invertIfNegative val="0"/>
            <c:bubble3D val="0"/>
            <c:spPr>
              <a:solidFill>
                <a:srgbClr val="33CC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4311-4408-A047-83F0992B2C69}"/>
              </c:ext>
            </c:extLst>
          </c:dPt>
          <c:dPt>
            <c:idx val="8"/>
            <c:invertIfNegative val="0"/>
            <c:bubble3D val="0"/>
            <c:spPr>
              <a:solidFill>
                <a:srgbClr val="33CC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4311-4408-A047-83F0992B2C69}"/>
              </c:ext>
            </c:extLst>
          </c:dPt>
          <c:val>
            <c:numRef>
              <c:f>'SIDE PROJECTS'!$J$135:$J$143</c:f>
              <c:numCache>
                <c:formatCode>"$"#,##0.00_);\("$"#,##0.00\)</c:formatCode>
                <c:ptCount val="9"/>
                <c:pt idx="0">
                  <c:v>1.0430665525128884</c:v>
                </c:pt>
                <c:pt idx="1">
                  <c:v>0.94310140197550973</c:v>
                </c:pt>
                <c:pt idx="2">
                  <c:v>0.71481394473070958</c:v>
                </c:pt>
                <c:pt idx="3">
                  <c:v>1.1780710280373832</c:v>
                </c:pt>
                <c:pt idx="4">
                  <c:v>1.4455105455616362</c:v>
                </c:pt>
                <c:pt idx="5">
                  <c:v>1.5970911844761666</c:v>
                </c:pt>
                <c:pt idx="6">
                  <c:v>1.7569076490029218</c:v>
                </c:pt>
                <c:pt idx="7">
                  <c:v>1.9222594111244906</c:v>
                </c:pt>
                <c:pt idx="8">
                  <c:v>2.0906845611303471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11-4408-A047-83F0992B2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96126112"/>
        <c:axId val="-1096123392"/>
      </c:barChart>
      <c:lineChart>
        <c:grouping val="standard"/>
        <c:varyColors val="0"/>
        <c:ser>
          <c:idx val="1"/>
          <c:order val="1"/>
          <c:tx>
            <c:strRef>
              <c:f>'SIDE PROJECTS'!$K$134</c:f>
              <c:strCache>
                <c:ptCount val="1"/>
                <c:pt idx="0">
                  <c:v>% Growth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spPr>
              <a:ln w="28575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4311-4408-A047-83F0992B2C69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4311-4408-A047-83F0992B2C69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4311-4408-A047-83F0992B2C69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4311-4408-A047-83F0992B2C69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4311-4408-A047-83F0992B2C69}"/>
              </c:ext>
            </c:extLst>
          </c:dPt>
          <c:val>
            <c:numRef>
              <c:f>'SIDE PROJECTS'!$K$135:$K$143</c:f>
              <c:numCache>
                <c:formatCode>0.0</c:formatCode>
                <c:ptCount val="9"/>
                <c:pt idx="1">
                  <c:v>-9.5837749083746431</c:v>
                </c:pt>
                <c:pt idx="2">
                  <c:v>-24.206035190554008</c:v>
                </c:pt>
                <c:pt idx="3">
                  <c:v>64.80806463298579</c:v>
                </c:pt>
                <c:pt idx="4">
                  <c:v>22.701476494995031</c:v>
                </c:pt>
                <c:pt idx="5">
                  <c:v>10.48630460565998</c:v>
                </c:pt>
                <c:pt idx="6">
                  <c:v>10.00672134942462</c:v>
                </c:pt>
                <c:pt idx="7">
                  <c:v>9.4115226953112252</c:v>
                </c:pt>
                <c:pt idx="8">
                  <c:v>8.7618325097615468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11-4408-A047-83F0992B2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96118848"/>
        <c:axId val="-1096121328"/>
      </c:lineChart>
      <c:catAx>
        <c:axId val="-1096126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96123392"/>
        <c:crosses val="autoZero"/>
        <c:auto val="1"/>
        <c:lblAlgn val="ctr"/>
        <c:lblOffset val="100"/>
        <c:noMultiLvlLbl val="0"/>
      </c:catAx>
      <c:valAx>
        <c:axId val="-1096123392"/>
        <c:scaling>
          <c:orientation val="minMax"/>
          <c:min val="0.5"/>
        </c:scaling>
        <c:delete val="0"/>
        <c:axPos val="l"/>
        <c:numFmt formatCode="&quot;$&quot;#,##0.00_);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96126112"/>
        <c:crosses val="autoZero"/>
        <c:crossBetween val="between"/>
      </c:valAx>
      <c:valAx>
        <c:axId val="-1096121328"/>
        <c:scaling>
          <c:orientation val="minMax"/>
          <c:max val="70"/>
          <c:min val="-25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96118848"/>
        <c:crosses val="max"/>
        <c:crossBetween val="between"/>
        <c:majorUnit val="10"/>
      </c:valAx>
      <c:catAx>
        <c:axId val="-1096118848"/>
        <c:scaling>
          <c:orientation val="minMax"/>
        </c:scaling>
        <c:delete val="1"/>
        <c:axPos val="b"/>
        <c:majorTickMark val="out"/>
        <c:minorTickMark val="none"/>
        <c:tickLblPos val="nextTo"/>
        <c:crossAx val="-1096121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767454068241498"/>
          <c:y val="0.92187445319335104"/>
          <c:w val="0.32465091863517098"/>
          <c:h val="7.8125546806649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'SIDE PROJECTS'!$J$148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rgbClr val="33CC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A1B-4F56-BF6C-C84342FE4983}"/>
              </c:ext>
            </c:extLst>
          </c:dPt>
          <c:dPt>
            <c:idx val="5"/>
            <c:invertIfNegative val="0"/>
            <c:bubble3D val="0"/>
            <c:spPr>
              <a:solidFill>
                <a:srgbClr val="33CC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DA1B-4F56-BF6C-C84342FE4983}"/>
              </c:ext>
            </c:extLst>
          </c:dPt>
          <c:dPt>
            <c:idx val="6"/>
            <c:invertIfNegative val="0"/>
            <c:bubble3D val="0"/>
            <c:spPr>
              <a:solidFill>
                <a:srgbClr val="33CC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A1B-4F56-BF6C-C84342FE4983}"/>
              </c:ext>
            </c:extLst>
          </c:dPt>
          <c:dPt>
            <c:idx val="7"/>
            <c:invertIfNegative val="0"/>
            <c:bubble3D val="0"/>
            <c:spPr>
              <a:solidFill>
                <a:srgbClr val="33CC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A1B-4F56-BF6C-C84342FE4983}"/>
              </c:ext>
            </c:extLst>
          </c:dPt>
          <c:dPt>
            <c:idx val="8"/>
            <c:invertIfNegative val="0"/>
            <c:bubble3D val="0"/>
            <c:spPr>
              <a:solidFill>
                <a:srgbClr val="33CC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A1B-4F56-BF6C-C84342FE4983}"/>
              </c:ext>
            </c:extLst>
          </c:dPt>
          <c:val>
            <c:numRef>
              <c:f>'SIDE PROJECTS'!$J$149:$J$157</c:f>
              <c:numCache>
                <c:formatCode>"$"#,##0_);\("$"#,##0\)</c:formatCode>
                <c:ptCount val="9"/>
                <c:pt idx="0">
                  <c:v>27221370</c:v>
                </c:pt>
                <c:pt idx="1">
                  <c:v>24597787</c:v>
                </c:pt>
                <c:pt idx="2">
                  <c:v>23773035</c:v>
                </c:pt>
                <c:pt idx="3">
                  <c:v>24698089</c:v>
                </c:pt>
                <c:pt idx="4">
                  <c:v>26160961.840380099</c:v>
                </c:pt>
                <c:pt idx="5">
                  <c:v>27806729.993959717</c:v>
                </c:pt>
                <c:pt idx="6">
                  <c:v>29589422.197816279</c:v>
                </c:pt>
                <c:pt idx="7">
                  <c:v>31468738.086487785</c:v>
                </c:pt>
                <c:pt idx="8">
                  <c:v>33409085.916645084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1B-4F56-BF6C-C84342FE4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94389312"/>
        <c:axId val="-1094386048"/>
      </c:barChart>
      <c:lineChart>
        <c:grouping val="standard"/>
        <c:varyColors val="0"/>
        <c:ser>
          <c:idx val="1"/>
          <c:order val="1"/>
          <c:tx>
            <c:strRef>
              <c:f>'SIDE PROJECTS'!$K$148</c:f>
              <c:strCache>
                <c:ptCount val="1"/>
                <c:pt idx="0">
                  <c:v>% Growth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spPr>
              <a:ln w="28575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A1B-4F56-BF6C-C84342FE4983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A1B-4F56-BF6C-C84342FE4983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A1B-4F56-BF6C-C84342FE4983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A1B-4F56-BF6C-C84342FE4983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DA1B-4F56-BF6C-C84342FE4983}"/>
              </c:ext>
            </c:extLst>
          </c:dPt>
          <c:val>
            <c:numRef>
              <c:f>'SIDE PROJECTS'!$K$149:$K$157</c:f>
              <c:numCache>
                <c:formatCode>0.0</c:formatCode>
                <c:ptCount val="9"/>
                <c:pt idx="1">
                  <c:v>-9.6379535636891163</c:v>
                </c:pt>
                <c:pt idx="2">
                  <c:v>-3.3529520358884346</c:v>
                </c:pt>
                <c:pt idx="3">
                  <c:v>3.8911901656645931</c:v>
                </c:pt>
                <c:pt idx="4">
                  <c:v>5.9230203615352472</c:v>
                </c:pt>
                <c:pt idx="5">
                  <c:v>6.2909313641493769</c:v>
                </c:pt>
                <c:pt idx="6">
                  <c:v>6.4110098679125649</c:v>
                </c:pt>
                <c:pt idx="7">
                  <c:v>6.3513098569738302</c:v>
                </c:pt>
                <c:pt idx="8">
                  <c:v>6.1659537310473134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B-4F56-BF6C-C84342FE4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94381088"/>
        <c:axId val="-1094383568"/>
      </c:lineChart>
      <c:catAx>
        <c:axId val="-1094389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94386048"/>
        <c:crosses val="autoZero"/>
        <c:auto val="1"/>
        <c:lblAlgn val="ctr"/>
        <c:lblOffset val="100"/>
        <c:noMultiLvlLbl val="0"/>
      </c:catAx>
      <c:valAx>
        <c:axId val="-1094386048"/>
        <c:scaling>
          <c:orientation val="minMax"/>
          <c:min val="22000000"/>
        </c:scaling>
        <c:delete val="0"/>
        <c:axPos val="l"/>
        <c:numFmt formatCode="&quot;$&quot;#,##0_)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94389312"/>
        <c:crosses val="autoZero"/>
        <c:crossBetween val="between"/>
        <c:majorUnit val="1500000"/>
      </c:valAx>
      <c:valAx>
        <c:axId val="-1094383568"/>
        <c:scaling>
          <c:orientation val="minMax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94381088"/>
        <c:crosses val="max"/>
        <c:crossBetween val="between"/>
      </c:valAx>
      <c:catAx>
        <c:axId val="-1094381088"/>
        <c:scaling>
          <c:orientation val="minMax"/>
        </c:scaling>
        <c:delete val="1"/>
        <c:axPos val="b"/>
        <c:majorTickMark val="out"/>
        <c:minorTickMark val="none"/>
        <c:tickLblPos val="nextTo"/>
        <c:crossAx val="-1094383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378018372703403"/>
          <c:y val="0.92187445319335104"/>
          <c:w val="0.38688407699037602"/>
          <c:h val="7.8125546806649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i="1"/>
              <a:t>As</a:t>
            </a:r>
            <a:r>
              <a:rPr lang="en-US" i="1" baseline="0"/>
              <a:t> % 1 year price target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7DD-461A-BCCE-8A3E99D2B60F}"/>
              </c:ext>
            </c:extLst>
          </c:dPt>
          <c:dPt>
            <c:idx val="1"/>
            <c:bubble3D val="0"/>
            <c:spPr>
              <a:solidFill>
                <a:srgbClr val="0099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F7DD-461A-BCCE-8A3E99D2B60F}"/>
              </c:ext>
            </c:extLst>
          </c:dPt>
          <c:dLbls>
            <c:dLbl>
              <c:idx val="0"/>
              <c:layout>
                <c:manualLayout>
                  <c:x val="-0.140993766404199"/>
                  <c:y val="-5.75204141149023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DD-461A-BCCE-8A3E99D2B60F}"/>
                </c:ext>
              </c:extLst>
            </c:dLbl>
            <c:dLbl>
              <c:idx val="1"/>
              <c:layout>
                <c:manualLayout>
                  <c:x val="0.11668646106736701"/>
                  <c:y val="5.168853893263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7DD-461A-BCCE-8A3E99D2B6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1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'SIDE PROJECTS'!$O$59:$P$59</c:f>
              <c:strCache>
                <c:ptCount val="2"/>
                <c:pt idx="0">
                  <c:v>Terminal Value</c:v>
                </c:pt>
                <c:pt idx="1">
                  <c:v>Present Value</c:v>
                </c:pt>
              </c:strCache>
            </c:strRef>
          </c:cat>
          <c:val>
            <c:numRef>
              <c:f>'SIDE PROJECTS'!$O$60:$P$60</c:f>
              <c:numCache>
                <c:formatCode>0.0%</c:formatCode>
                <c:ptCount val="2"/>
                <c:pt idx="0">
                  <c:v>0.59479245111175949</c:v>
                </c:pt>
                <c:pt idx="1">
                  <c:v>0.40520754888824051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DD-461A-BCCE-8A3E99D2B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rgbClr val="990000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6-807A-4F8C-9A85-CC243AF7015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0-807A-4F8C-9A85-CC243AF70153}"/>
              </c:ext>
            </c:extLst>
          </c:dPt>
          <c:dPt>
            <c:idx val="2"/>
            <c:invertIfNegative val="0"/>
            <c:bubble3D val="0"/>
            <c:spPr>
              <a:solidFill>
                <a:srgbClr val="33CC3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807A-4F8C-9A85-CC243AF70153}"/>
              </c:ext>
            </c:extLst>
          </c:dPt>
          <c:cat>
            <c:strRef>
              <c:f>'SIDE PROJECTS'!$I$165:$I$168</c:f>
              <c:strCache>
                <c:ptCount val="4"/>
                <c:pt idx="0">
                  <c:v>CEC</c:v>
                </c:pt>
                <c:pt idx="1">
                  <c:v>CTG</c:v>
                </c:pt>
                <c:pt idx="2">
                  <c:v>IEI</c:v>
                </c:pt>
                <c:pt idx="3">
                  <c:v>HRS</c:v>
                </c:pt>
              </c:strCache>
            </c:strRef>
          </c:cat>
          <c:val>
            <c:numRef>
              <c:f>'SIDE PROJECTS'!$J$165:$J$168</c:f>
              <c:numCache>
                <c:formatCode>0.0</c:formatCode>
                <c:ptCount val="4"/>
                <c:pt idx="0">
                  <c:v>2.2000000000000002</c:v>
                </c:pt>
                <c:pt idx="1">
                  <c:v>1.8</c:v>
                </c:pt>
                <c:pt idx="2">
                  <c:v>3.5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A-4F8C-9A85-CC243AF70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097092816"/>
        <c:axId val="-1097090064"/>
        <c:axId val="0"/>
      </c:bar3DChart>
      <c:catAx>
        <c:axId val="-10970928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97090064"/>
        <c:crosses val="autoZero"/>
        <c:auto val="1"/>
        <c:lblAlgn val="ctr"/>
        <c:lblOffset val="100"/>
        <c:noMultiLvlLbl val="0"/>
      </c:catAx>
      <c:valAx>
        <c:axId val="-109709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9709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i="1">
                <a:solidFill>
                  <a:schemeClr val="tx2"/>
                </a:solidFill>
                <a:latin typeface="+mn-lt"/>
              </a:defRPr>
            </a:pPr>
            <a:r>
              <a:rPr lang="en-US" sz="1100" i="1">
                <a:solidFill>
                  <a:schemeClr val="tx2"/>
                </a:solidFill>
                <a:latin typeface="+mn-lt"/>
              </a:rPr>
              <a:t>Medical Device Spend (billions</a:t>
            </a:r>
            <a:r>
              <a:rPr lang="en-US" sz="1100" i="1" baseline="0">
                <a:solidFill>
                  <a:schemeClr val="tx2"/>
                </a:solidFill>
                <a:latin typeface="+mn-lt"/>
              </a:rPr>
              <a:t> USD</a:t>
            </a:r>
            <a:r>
              <a:rPr lang="en-US" sz="1100" i="1">
                <a:solidFill>
                  <a:schemeClr val="tx2"/>
                </a:solidFill>
                <a:latin typeface="+mn-lt"/>
              </a:rPr>
              <a:t>)</a:t>
            </a:r>
          </a:p>
        </c:rich>
      </c:tx>
      <c:layout>
        <c:manualLayout>
          <c:xMode val="edge"/>
          <c:yMode val="edge"/>
          <c:x val="7.1361111111111097E-2"/>
          <c:y val="2.7777777777777801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'SIDE PROJECTS'!$U$216</c:f>
              <c:strCache>
                <c:ptCount val="1"/>
                <c:pt idx="0">
                  <c:v>Medical Device Spend </c:v>
                </c:pt>
              </c:strCache>
            </c:strRef>
          </c:tx>
          <c:val>
            <c:numRef>
              <c:f>'SIDE PROJECTS'!$V$216:$AE$216</c:f>
              <c:numCache>
                <c:formatCode>0</c:formatCode>
                <c:ptCount val="10"/>
                <c:pt idx="0">
                  <c:v>239.16852003256636</c:v>
                </c:pt>
                <c:pt idx="1">
                  <c:v>255.19281087474829</c:v>
                </c:pt>
                <c:pt idx="2">
                  <c:v>272.29072920335642</c:v>
                </c:pt>
                <c:pt idx="3">
                  <c:v>290.53420805998127</c:v>
                </c:pt>
                <c:pt idx="4">
                  <c:v>310</c:v>
                </c:pt>
                <c:pt idx="5">
                  <c:v>328.6</c:v>
                </c:pt>
                <c:pt idx="6">
                  <c:v>348.31600000000003</c:v>
                </c:pt>
                <c:pt idx="7">
                  <c:v>369.21496000000008</c:v>
                </c:pt>
                <c:pt idx="8">
                  <c:v>391.36785760000009</c:v>
                </c:pt>
                <c:pt idx="9">
                  <c:v>414.84992905600012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E8-44BC-83DF-0144F8785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94347184"/>
        <c:axId val="-1094344432"/>
      </c:lineChart>
      <c:catAx>
        <c:axId val="-1094347184"/>
        <c:scaling>
          <c:orientation val="minMax"/>
        </c:scaling>
        <c:delete val="1"/>
        <c:axPos val="b"/>
        <c:majorTickMark val="out"/>
        <c:minorTickMark val="none"/>
        <c:tickLblPos val="nextTo"/>
        <c:crossAx val="-1094344432"/>
        <c:crosses val="autoZero"/>
        <c:auto val="1"/>
        <c:lblAlgn val="ctr"/>
        <c:lblOffset val="100"/>
        <c:noMultiLvlLbl val="0"/>
      </c:catAx>
      <c:valAx>
        <c:axId val="-1094344432"/>
        <c:scaling>
          <c:orientation val="minMax"/>
          <c:min val="22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tx2"/>
                </a:solidFill>
              </a:defRPr>
            </a:pPr>
            <a:endParaRPr lang="en-US"/>
          </a:p>
        </c:txPr>
        <c:crossAx val="-10943471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1585936132983401"/>
          <c:y val="0.52502114319043502"/>
          <c:w val="0.34166666666666701"/>
          <c:h val="8.3717191601049901E-2"/>
        </c:manualLayout>
      </c:layout>
      <c:overlay val="0"/>
      <c:txPr>
        <a:bodyPr/>
        <a:lstStyle/>
        <a:p>
          <a:pPr rtl="0">
            <a:defRPr b="1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tx>
            <c:strRef>
              <c:f>'SIDE PROJECTS'!$W$187</c:f>
              <c:strCache>
                <c:ptCount val="1"/>
                <c:pt idx="0">
                  <c:v>ROIC</c:v>
                </c:pt>
              </c:strCache>
            </c:strRef>
          </c:tx>
          <c:marker>
            <c:spPr>
              <a:solidFill>
                <a:schemeClr val="tx1"/>
              </a:solidFill>
            </c:spPr>
          </c:marker>
          <c:cat>
            <c:strRef>
              <c:f>'SIDE PROJECTS'!$V$188:$V$199</c:f>
              <c:strCache>
                <c:ptCount val="12"/>
                <c:pt idx="0">
                  <c:v>Q3 2014</c:v>
                </c:pt>
                <c:pt idx="1">
                  <c:v>Q1 2015</c:v>
                </c:pt>
                <c:pt idx="2">
                  <c:v>Q2 2015</c:v>
                </c:pt>
                <c:pt idx="3">
                  <c:v>Q3 2015</c:v>
                </c:pt>
                <c:pt idx="4">
                  <c:v>Q4 2015</c:v>
                </c:pt>
                <c:pt idx="5">
                  <c:v>Q1 2016</c:v>
                </c:pt>
                <c:pt idx="6">
                  <c:v>Q2 2016</c:v>
                </c:pt>
                <c:pt idx="7">
                  <c:v>Q3 2016</c:v>
                </c:pt>
                <c:pt idx="8">
                  <c:v>Q4 2016</c:v>
                </c:pt>
                <c:pt idx="9">
                  <c:v>Q1 2017</c:v>
                </c:pt>
                <c:pt idx="10">
                  <c:v>Q2 2017</c:v>
                </c:pt>
                <c:pt idx="11">
                  <c:v>Q3 2017</c:v>
                </c:pt>
              </c:strCache>
            </c:strRef>
          </c:cat>
          <c:val>
            <c:numRef>
              <c:f>'SIDE PROJECTS'!$W$188:$W$199</c:f>
              <c:numCache>
                <c:formatCode>0%</c:formatCode>
                <c:ptCount val="12"/>
                <c:pt idx="0">
                  <c:v>0.24</c:v>
                </c:pt>
                <c:pt idx="1">
                  <c:v>0.24</c:v>
                </c:pt>
                <c:pt idx="2">
                  <c:v>0.23</c:v>
                </c:pt>
                <c:pt idx="3">
                  <c:v>0.23</c:v>
                </c:pt>
                <c:pt idx="4">
                  <c:v>0.22</c:v>
                </c:pt>
                <c:pt idx="5">
                  <c:v>0.22</c:v>
                </c:pt>
                <c:pt idx="6">
                  <c:v>0.189</c:v>
                </c:pt>
                <c:pt idx="7">
                  <c:v>0.14899999999999999</c:v>
                </c:pt>
                <c:pt idx="8">
                  <c:v>0.13100000000000001</c:v>
                </c:pt>
                <c:pt idx="9">
                  <c:v>0.13900000000000001</c:v>
                </c:pt>
                <c:pt idx="10">
                  <c:v>0.13100000000000001</c:v>
                </c:pt>
                <c:pt idx="11">
                  <c:v>0.13900000000000001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D5-4761-83F9-AFF7C0DDC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95327568"/>
        <c:axId val="-1095325088"/>
      </c:lineChart>
      <c:catAx>
        <c:axId val="-10953275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1095325088"/>
        <c:crosses val="autoZero"/>
        <c:auto val="1"/>
        <c:lblAlgn val="ctr"/>
        <c:lblOffset val="100"/>
        <c:noMultiLvlLbl val="0"/>
      </c:catAx>
      <c:valAx>
        <c:axId val="-1095325088"/>
        <c:scaling>
          <c:orientation val="minMax"/>
          <c:min val="0.1"/>
        </c:scaling>
        <c:delete val="0"/>
        <c:axPos val="l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tx2"/>
                </a:solidFill>
              </a:defRPr>
            </a:pPr>
            <a:endParaRPr lang="en-US"/>
          </a:p>
        </c:txPr>
        <c:crossAx val="-10953275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6138888888888905"/>
          <c:y val="0.34703011081948099"/>
          <c:w val="0.139875328083989"/>
          <c:h val="8.3717191601049901E-2"/>
        </c:manualLayout>
      </c:layout>
      <c:overlay val="0"/>
      <c:txPr>
        <a:bodyPr/>
        <a:lstStyle/>
        <a:p>
          <a:pPr>
            <a:defRPr b="1">
              <a:solidFill>
                <a:schemeClr val="tx2"/>
              </a:solidFill>
            </a:defRPr>
          </a:pPr>
          <a:endParaRPr lang="en-US"/>
        </a:p>
      </c:txPr>
    </c:legend>
    <c:plotVisOnly val="1"/>
    <c:dispBlanksAs val="zero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833331664036299E-2"/>
          <c:y val="6.0441108720641602E-2"/>
          <c:w val="0.58732653023263803"/>
          <c:h val="0.8160014352756770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</c:spPr>
            <c:extLst>
              <c:ext xmlns:c16="http://schemas.microsoft.com/office/drawing/2014/chart" uri="{C3380CC4-5D6E-409C-BE32-E72D297353CC}">
                <c16:uniqueId val="{00000001-5560-443B-AFA3-ED08964A7ED2}"/>
              </c:ext>
            </c:extLst>
          </c:dPt>
          <c:dPt>
            <c:idx val="12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3-5560-443B-AFA3-ED08964A7ED2}"/>
              </c:ext>
            </c:extLst>
          </c:dPt>
          <c:dLbls>
            <c:dLbl>
              <c:idx val="0"/>
              <c:layout>
                <c:manualLayout>
                  <c:x val="-5.9877531326954399E-2"/>
                  <c:y val="0.14467785005135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60-443B-AFA3-ED08964A7ED2}"/>
                </c:ext>
              </c:extLst>
            </c:dLbl>
            <c:dLbl>
              <c:idx val="1"/>
              <c:layout>
                <c:manualLayout>
                  <c:x val="-9.6445654826298494E-2"/>
                  <c:y val="7.147050096998740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60-443B-AFA3-ED08964A7ED2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AF5D-1448-BB42-04DF6D113664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AF5D-1448-BB42-04DF6D113664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AF5D-1448-BB42-04DF6D113664}"/>
                </c:ext>
              </c:extLst>
            </c:dLbl>
            <c:dLbl>
              <c:idx val="12"/>
              <c:layout>
                <c:manualLayout>
                  <c:x val="0.17517065239285301"/>
                  <c:y val="-0.1667862604131009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60-443B-AFA3-ED08964A7E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NOTES!$I$5:$I$17</c:f>
              <c:strCache>
                <c:ptCount val="13"/>
                <c:pt idx="0">
                  <c:v>Flex FLEX</c:v>
                </c:pt>
                <c:pt idx="1">
                  <c:v>Jabil (JBL)</c:v>
                </c:pt>
                <c:pt idx="2">
                  <c:v>Celestica (CLS)</c:v>
                </c:pt>
                <c:pt idx="3">
                  <c:v>Sanmina (SANM)</c:v>
                </c:pt>
                <c:pt idx="4">
                  <c:v>Plexus (PLXS)</c:v>
                </c:pt>
                <c:pt idx="5">
                  <c:v>Fabrinet (FN)</c:v>
                </c:pt>
                <c:pt idx="6">
                  <c:v>Benchmark Electronics (BHE)</c:v>
                </c:pt>
                <c:pt idx="7">
                  <c:v>Quanta Services (PWR)</c:v>
                </c:pt>
                <c:pt idx="8">
                  <c:v>IEC Electronics (IEC)</c:v>
                </c:pt>
                <c:pt idx="9">
                  <c:v>SigmaTron International (SGMA)</c:v>
                </c:pt>
                <c:pt idx="10">
                  <c:v>SMTC Corp (SMTX)</c:v>
                </c:pt>
                <c:pt idx="11">
                  <c:v>TTM Technologies (TTMI)</c:v>
                </c:pt>
                <c:pt idx="12">
                  <c:v>Hon Hai Precision Industries (HKG: 2038)</c:v>
                </c:pt>
              </c:strCache>
            </c:strRef>
          </c:cat>
          <c:val>
            <c:numRef>
              <c:f>NOTES!$J$5:$J$17</c:f>
              <c:numCache>
                <c:formatCode>0.0%</c:formatCode>
                <c:ptCount val="13"/>
                <c:pt idx="0">
                  <c:v>5.7082352941176473E-2</c:v>
                </c:pt>
                <c:pt idx="1">
                  <c:v>4.5976470588235292E-2</c:v>
                </c:pt>
                <c:pt idx="2">
                  <c:v>1.4541176470588234E-2</c:v>
                </c:pt>
                <c:pt idx="3">
                  <c:v>1.6164705882352942E-2</c:v>
                </c:pt>
                <c:pt idx="4">
                  <c:v>5.9529411764705879E-3</c:v>
                </c:pt>
                <c:pt idx="5">
                  <c:v>3.4117647058823529E-3</c:v>
                </c:pt>
                <c:pt idx="6">
                  <c:v>5.623529411764706E-3</c:v>
                </c:pt>
                <c:pt idx="7">
                  <c:v>2.1388235294117645E-2</c:v>
                </c:pt>
                <c:pt idx="8">
                  <c:v>2.2705882352941177E-4</c:v>
                </c:pt>
                <c:pt idx="9">
                  <c:v>6.3929411764705876E-4</c:v>
                </c:pt>
                <c:pt idx="10">
                  <c:v>3.2988235294117643E-4</c:v>
                </c:pt>
                <c:pt idx="11">
                  <c:v>6.1882352941176472E-3</c:v>
                </c:pt>
                <c:pt idx="12">
                  <c:v>0.34399999999999997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60-443B-AFA3-ED08964A7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4443066491688505"/>
          <c:y val="1.9014829717342599E-2"/>
          <c:w val="0.355569322396036"/>
          <c:h val="0.98098517028265697"/>
        </c:manualLayout>
      </c:layout>
      <c:overlay val="0"/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1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E500-400B-B9AC-8674DB108FC8}"/>
              </c:ext>
            </c:extLst>
          </c:dPt>
          <c:dLbls>
            <c:dLbl>
              <c:idx val="0"/>
              <c:layout>
                <c:manualLayout>
                  <c:x val="-0.16310651793525799"/>
                  <c:y val="-3.94925634295712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00-400B-B9AC-8674DB108FC8}"/>
                </c:ext>
              </c:extLst>
            </c:dLbl>
            <c:dLbl>
              <c:idx val="1"/>
              <c:layout>
                <c:manualLayout>
                  <c:x val="0.18029855643044601"/>
                  <c:y val="-1.164114902303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00-400B-B9AC-8674DB108F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NOTES!$I$27:$I$28</c:f>
              <c:strCache>
                <c:ptCount val="2"/>
                <c:pt idx="0">
                  <c:v>Comp Set</c:v>
                </c:pt>
                <c:pt idx="1">
                  <c:v>Rest of Market</c:v>
                </c:pt>
              </c:strCache>
            </c:strRef>
          </c:cat>
          <c:val>
            <c:numRef>
              <c:f>NOTES!$J$27:$J$28</c:f>
              <c:numCache>
                <c:formatCode>0.0%</c:formatCode>
                <c:ptCount val="2"/>
                <c:pt idx="0">
                  <c:v>0.52152564705882354</c:v>
                </c:pt>
                <c:pt idx="1">
                  <c:v>0.47847435294117646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00-400B-B9AC-8674DB108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3695888013998303"/>
          <c:y val="0.41628280839894999"/>
          <c:w val="0.21859667541557301"/>
          <c:h val="0.1674343832021"/>
        </c:manualLayout>
      </c:layout>
      <c:overlay val="0"/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600">
                <a:solidFill>
                  <a:schemeClr val="tx2"/>
                </a:solidFill>
              </a:defRPr>
            </a:pPr>
            <a:r>
              <a:rPr lang="en-US" sz="1600">
                <a:solidFill>
                  <a:schemeClr val="tx2"/>
                </a:solidFill>
              </a:rPr>
              <a:t>Total</a:t>
            </a:r>
            <a:r>
              <a:rPr lang="en-US" sz="1600" baseline="0">
                <a:solidFill>
                  <a:schemeClr val="tx2"/>
                </a:solidFill>
              </a:rPr>
              <a:t> Revenue by Operating Segment</a:t>
            </a:r>
            <a:endParaRPr lang="en-US" sz="1600">
              <a:solidFill>
                <a:schemeClr val="tx2"/>
              </a:solidFill>
            </a:endParaRP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CEC</c:v>
          </c:tx>
          <c:spPr>
            <a:solidFill>
              <a:schemeClr val="tx2"/>
            </a:solidFill>
          </c:spPr>
          <c:invertIfNegative val="0"/>
          <c:cat>
            <c:numLit>
              <c:formatCode>General</c:formatCode>
              <c:ptCount val="3"/>
              <c:pt idx="0">
                <c:v>2017</c:v>
              </c:pt>
              <c:pt idx="1">
                <c:v>2016</c:v>
              </c:pt>
              <c:pt idx="2">
                <c:v>2015</c:v>
              </c:pt>
            </c:numLit>
          </c:cat>
          <c:val>
            <c:numLit>
              <c:formatCode>General</c:formatCode>
              <c:ptCount val="3"/>
              <c:pt idx="0">
                <c:v>0.35</c:v>
              </c:pt>
              <c:pt idx="1">
                <c:v>0.36</c:v>
              </c:pt>
              <c:pt idx="2">
                <c:v>0.35</c:v>
              </c:pt>
            </c:numLit>
          </c:val>
          <c:extLst>
            <c:ext xmlns:c16="http://schemas.microsoft.com/office/drawing/2014/chart" uri="{C3380CC4-5D6E-409C-BE32-E72D297353CC}">
              <c16:uniqueId val="{00000000-3ACD-4DAC-AF9A-9376A83ACCB3}"/>
            </c:ext>
          </c:extLst>
        </c:ser>
        <c:ser>
          <c:idx val="1"/>
          <c:order val="1"/>
          <c:tx>
            <c:v>CTG</c:v>
          </c:tx>
          <c:spPr>
            <a:solidFill>
              <a:schemeClr val="accent6"/>
            </a:solidFill>
          </c:spPr>
          <c:invertIfNegative val="0"/>
          <c:cat>
            <c:numLit>
              <c:formatCode>General</c:formatCode>
              <c:ptCount val="3"/>
              <c:pt idx="0">
                <c:v>2017</c:v>
              </c:pt>
              <c:pt idx="1">
                <c:v>2016</c:v>
              </c:pt>
              <c:pt idx="2">
                <c:v>2015</c:v>
              </c:pt>
            </c:numLit>
          </c:cat>
          <c:val>
            <c:numLit>
              <c:formatCode>General</c:formatCode>
              <c:ptCount val="3"/>
              <c:pt idx="0">
                <c:v>0.27</c:v>
              </c:pt>
              <c:pt idx="1">
                <c:v>0.28999999999999998</c:v>
              </c:pt>
              <c:pt idx="2">
                <c:v>0.34</c:v>
              </c:pt>
            </c:numLit>
          </c:val>
          <c:extLst>
            <c:ext xmlns:c16="http://schemas.microsoft.com/office/drawing/2014/chart" uri="{C3380CC4-5D6E-409C-BE32-E72D297353CC}">
              <c16:uniqueId val="{00000001-3ACD-4DAC-AF9A-9376A83ACCB3}"/>
            </c:ext>
          </c:extLst>
        </c:ser>
        <c:ser>
          <c:idx val="2"/>
          <c:order val="2"/>
          <c:tx>
            <c:v>IEI</c:v>
          </c:tx>
          <c:spPr>
            <a:solidFill>
              <a:srgbClr val="33CC33"/>
            </a:solidFill>
          </c:spPr>
          <c:invertIfNegative val="0"/>
          <c:cat>
            <c:numLit>
              <c:formatCode>General</c:formatCode>
              <c:ptCount val="3"/>
              <c:pt idx="0">
                <c:v>2017</c:v>
              </c:pt>
              <c:pt idx="1">
                <c:v>2016</c:v>
              </c:pt>
              <c:pt idx="2">
                <c:v>2015</c:v>
              </c:pt>
            </c:numLit>
          </c:cat>
          <c:val>
            <c:numLit>
              <c:formatCode>General</c:formatCode>
              <c:ptCount val="3"/>
              <c:pt idx="0">
                <c:v>0.21</c:v>
              </c:pt>
              <c:pt idx="1">
                <c:v>0.19</c:v>
              </c:pt>
              <c:pt idx="2">
                <c:v>0.17</c:v>
              </c:pt>
            </c:numLit>
          </c:val>
          <c:extLst>
            <c:ext xmlns:c16="http://schemas.microsoft.com/office/drawing/2014/chart" uri="{C3380CC4-5D6E-409C-BE32-E72D297353CC}">
              <c16:uniqueId val="{00000002-3ACD-4DAC-AF9A-9376A83ACCB3}"/>
            </c:ext>
          </c:extLst>
        </c:ser>
        <c:ser>
          <c:idx val="3"/>
          <c:order val="3"/>
          <c:tx>
            <c:v>HRS</c:v>
          </c:tx>
          <c:spPr>
            <a:solidFill>
              <a:srgbClr val="990000"/>
            </a:solidFill>
          </c:spPr>
          <c:invertIfNegative val="0"/>
          <c:cat>
            <c:numLit>
              <c:formatCode>General</c:formatCode>
              <c:ptCount val="3"/>
              <c:pt idx="0">
                <c:v>2017</c:v>
              </c:pt>
              <c:pt idx="1">
                <c:v>2016</c:v>
              </c:pt>
              <c:pt idx="2">
                <c:v>2015</c:v>
              </c:pt>
            </c:numLit>
          </c:cat>
          <c:val>
            <c:numLit>
              <c:formatCode>General</c:formatCode>
              <c:ptCount val="3"/>
              <c:pt idx="0">
                <c:v>0.17</c:v>
              </c:pt>
              <c:pt idx="1">
                <c:v>0.16</c:v>
              </c:pt>
              <c:pt idx="2">
                <c:v>0.14000000000000001</c:v>
              </c:pt>
            </c:numLit>
          </c:val>
          <c:extLst>
            <c:ext xmlns:c16="http://schemas.microsoft.com/office/drawing/2014/chart" uri="{C3380CC4-5D6E-409C-BE32-E72D297353CC}">
              <c16:uniqueId val="{00000003-3ACD-4DAC-AF9A-9376A83AC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137329792"/>
        <c:axId val="-1137325920"/>
        <c:axId val="0"/>
      </c:bar3DChart>
      <c:catAx>
        <c:axId val="-113732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1137325920"/>
        <c:crosses val="autoZero"/>
        <c:auto val="1"/>
        <c:lblAlgn val="ctr"/>
        <c:lblOffset val="100"/>
        <c:noMultiLvlLbl val="0"/>
      </c:catAx>
      <c:valAx>
        <c:axId val="-11373259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-1137329792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ln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8021C34-CB9A-4793-AE78-9D33A0D998F3}" type="doc">
      <dgm:prSet loTypeId="urn:microsoft.com/office/officeart/2005/8/layout/cycle4" loCatId="matrix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A2B745FC-9F92-411F-B292-C7B71C4AFC1F}">
      <dgm:prSet phldrT="[Text]" custT="1"/>
      <dgm:spPr/>
      <dgm:t>
        <a:bodyPr/>
        <a:lstStyle/>
        <a:p>
          <a:r>
            <a:rPr lang="en-US" sz="4900"/>
            <a:t>S</a:t>
          </a:r>
        </a:p>
      </dgm:t>
    </dgm:pt>
    <dgm:pt modelId="{5B81CCC8-099D-4D5E-87F5-9C4991B393FB}" type="parTrans" cxnId="{85235971-C3AE-454E-91BB-030F2DB90872}">
      <dgm:prSet/>
      <dgm:spPr/>
      <dgm:t>
        <a:bodyPr/>
        <a:lstStyle/>
        <a:p>
          <a:endParaRPr lang="en-US"/>
        </a:p>
      </dgm:t>
    </dgm:pt>
    <dgm:pt modelId="{89AD89C9-EE27-43EE-8466-CA0FF99D6D2E}" type="sibTrans" cxnId="{85235971-C3AE-454E-91BB-030F2DB90872}">
      <dgm:prSet/>
      <dgm:spPr/>
      <dgm:t>
        <a:bodyPr/>
        <a:lstStyle/>
        <a:p>
          <a:endParaRPr lang="en-US"/>
        </a:p>
      </dgm:t>
    </dgm:pt>
    <dgm:pt modelId="{AE1700D6-9E0C-4CA2-AC71-9D81E8D3BBFB}">
      <dgm:prSet phldrT="[Text]" custT="1"/>
      <dgm:spPr/>
      <dgm:t>
        <a:bodyPr/>
        <a:lstStyle/>
        <a:p>
          <a:pPr rtl="0"/>
          <a:r>
            <a:rPr lang="en-US" sz="1000" b="1"/>
            <a:t>Dominant market share</a:t>
          </a:r>
        </a:p>
      </dgm:t>
    </dgm:pt>
    <dgm:pt modelId="{3E86175D-FB9D-40FC-AD9F-C1E6B29CD1A8}" type="parTrans" cxnId="{E70B0689-8578-49D3-9C70-207D1FDA994E}">
      <dgm:prSet/>
      <dgm:spPr/>
      <dgm:t>
        <a:bodyPr/>
        <a:lstStyle/>
        <a:p>
          <a:endParaRPr lang="en-US"/>
        </a:p>
      </dgm:t>
    </dgm:pt>
    <dgm:pt modelId="{E9D3D03F-AE3F-4E4A-B579-03A090CA039D}" type="sibTrans" cxnId="{E70B0689-8578-49D3-9C70-207D1FDA994E}">
      <dgm:prSet/>
      <dgm:spPr/>
      <dgm:t>
        <a:bodyPr/>
        <a:lstStyle/>
        <a:p>
          <a:endParaRPr lang="en-US"/>
        </a:p>
      </dgm:t>
    </dgm:pt>
    <dgm:pt modelId="{D6C2EB4F-3013-477C-830B-18B1FFAA7EBB}">
      <dgm:prSet phldrT="[Text]" custT="1"/>
      <dgm:spPr/>
      <dgm:t>
        <a:bodyPr/>
        <a:lstStyle/>
        <a:p>
          <a:r>
            <a:rPr lang="en-US" sz="4900"/>
            <a:t>W</a:t>
          </a:r>
        </a:p>
      </dgm:t>
    </dgm:pt>
    <dgm:pt modelId="{C9ED002B-E066-4BF6-A9CE-9962DD71522D}" type="parTrans" cxnId="{96474EFC-3535-4ED2-8B7D-ECD47A1B5702}">
      <dgm:prSet/>
      <dgm:spPr/>
      <dgm:t>
        <a:bodyPr/>
        <a:lstStyle/>
        <a:p>
          <a:endParaRPr lang="en-US"/>
        </a:p>
      </dgm:t>
    </dgm:pt>
    <dgm:pt modelId="{89144D36-52F0-49C5-8A6E-91F51FD75587}" type="sibTrans" cxnId="{96474EFC-3535-4ED2-8B7D-ECD47A1B5702}">
      <dgm:prSet/>
      <dgm:spPr/>
      <dgm:t>
        <a:bodyPr/>
        <a:lstStyle/>
        <a:p>
          <a:endParaRPr lang="en-US"/>
        </a:p>
      </dgm:t>
    </dgm:pt>
    <dgm:pt modelId="{F3EE6BE2-9A24-4EC8-A330-D41AB0812D24}">
      <dgm:prSet phldrT="[Text]"/>
      <dgm:spPr/>
      <dgm:t>
        <a:bodyPr/>
        <a:lstStyle/>
        <a:p>
          <a:r>
            <a:rPr lang="en-US" b="1"/>
            <a:t>Dependent on single suppliers for certain components</a:t>
          </a:r>
        </a:p>
      </dgm:t>
    </dgm:pt>
    <dgm:pt modelId="{C785388C-D52B-4484-9199-489C9B8B8F40}" type="parTrans" cxnId="{991FEABD-F188-4B4C-8496-FFDDB5A3A05B}">
      <dgm:prSet/>
      <dgm:spPr/>
      <dgm:t>
        <a:bodyPr/>
        <a:lstStyle/>
        <a:p>
          <a:endParaRPr lang="en-US"/>
        </a:p>
      </dgm:t>
    </dgm:pt>
    <dgm:pt modelId="{BECDCD9C-C533-448D-86A9-2365757C17E8}" type="sibTrans" cxnId="{991FEABD-F188-4B4C-8496-FFDDB5A3A05B}">
      <dgm:prSet/>
      <dgm:spPr/>
      <dgm:t>
        <a:bodyPr/>
        <a:lstStyle/>
        <a:p>
          <a:endParaRPr lang="en-US"/>
        </a:p>
      </dgm:t>
    </dgm:pt>
    <dgm:pt modelId="{6EDC6329-D2AB-4013-8940-7D9630D44ECE}">
      <dgm:prSet phldrT="[Text]"/>
      <dgm:spPr/>
      <dgm:t>
        <a:bodyPr/>
        <a:lstStyle/>
        <a:p>
          <a:r>
            <a:rPr lang="en-US"/>
            <a:t>O</a:t>
          </a:r>
        </a:p>
      </dgm:t>
    </dgm:pt>
    <dgm:pt modelId="{B036CEC2-6B35-4722-87B1-8554537E9FCC}" type="parTrans" cxnId="{F5863C6B-A488-40C8-8C73-248F71A68FFB}">
      <dgm:prSet/>
      <dgm:spPr/>
      <dgm:t>
        <a:bodyPr/>
        <a:lstStyle/>
        <a:p>
          <a:endParaRPr lang="en-US"/>
        </a:p>
      </dgm:t>
    </dgm:pt>
    <dgm:pt modelId="{CF3D1BB3-7A7C-4812-BEFD-2EDFABA990ED}" type="sibTrans" cxnId="{F5863C6B-A488-40C8-8C73-248F71A68FFB}">
      <dgm:prSet/>
      <dgm:spPr/>
      <dgm:t>
        <a:bodyPr/>
        <a:lstStyle/>
        <a:p>
          <a:endParaRPr lang="en-US"/>
        </a:p>
      </dgm:t>
    </dgm:pt>
    <dgm:pt modelId="{060F0D0A-F249-45D1-9A52-B5514FF259D6}">
      <dgm:prSet phldrT="[Text]" custT="1"/>
      <dgm:spPr/>
      <dgm:t>
        <a:bodyPr/>
        <a:lstStyle/>
        <a:p>
          <a:r>
            <a:rPr lang="en-US" sz="1000" b="1"/>
            <a:t> Grow share of electronics in autos</a:t>
          </a:r>
        </a:p>
      </dgm:t>
    </dgm:pt>
    <dgm:pt modelId="{A1722A82-3BCC-40AF-86D3-D69F34D8598B}" type="parTrans" cxnId="{2F07527F-75C9-4E14-BEB1-F0858062A190}">
      <dgm:prSet/>
      <dgm:spPr/>
      <dgm:t>
        <a:bodyPr/>
        <a:lstStyle/>
        <a:p>
          <a:endParaRPr lang="en-US"/>
        </a:p>
      </dgm:t>
    </dgm:pt>
    <dgm:pt modelId="{D087E460-BDE4-4213-A329-7409DA616679}" type="sibTrans" cxnId="{2F07527F-75C9-4E14-BEB1-F0858062A190}">
      <dgm:prSet/>
      <dgm:spPr/>
      <dgm:t>
        <a:bodyPr/>
        <a:lstStyle/>
        <a:p>
          <a:endParaRPr lang="en-US"/>
        </a:p>
      </dgm:t>
    </dgm:pt>
    <dgm:pt modelId="{1759E742-2E1D-4CFC-A16D-8E2B549D6203}">
      <dgm:prSet phldrT="[Text]"/>
      <dgm:spPr/>
      <dgm:t>
        <a:bodyPr/>
        <a:lstStyle/>
        <a:p>
          <a:r>
            <a:rPr lang="en-US"/>
            <a:t>T</a:t>
          </a:r>
        </a:p>
      </dgm:t>
    </dgm:pt>
    <dgm:pt modelId="{11A3769A-3BBA-41F4-B475-02E5953DFED3}" type="parTrans" cxnId="{09E98CAB-037B-4154-9800-4574978B1DC5}">
      <dgm:prSet/>
      <dgm:spPr/>
      <dgm:t>
        <a:bodyPr/>
        <a:lstStyle/>
        <a:p>
          <a:endParaRPr lang="en-US"/>
        </a:p>
      </dgm:t>
    </dgm:pt>
    <dgm:pt modelId="{9307537C-AA72-48BF-A9E3-DCA24EF5DB19}" type="sibTrans" cxnId="{09E98CAB-037B-4154-9800-4574978B1DC5}">
      <dgm:prSet/>
      <dgm:spPr/>
      <dgm:t>
        <a:bodyPr/>
        <a:lstStyle/>
        <a:p>
          <a:endParaRPr lang="en-US"/>
        </a:p>
      </dgm:t>
    </dgm:pt>
    <dgm:pt modelId="{A9A8406B-E6BF-4BC8-B5DE-D535D1CEE041}">
      <dgm:prSet phldrT="[Text]" custT="1"/>
      <dgm:spPr/>
      <dgm:t>
        <a:bodyPr/>
        <a:lstStyle/>
        <a:p>
          <a:r>
            <a:rPr lang="en-US" sz="1000" b="1"/>
            <a:t>Competition  from other EMS &amp; ODM firms</a:t>
          </a:r>
        </a:p>
      </dgm:t>
    </dgm:pt>
    <dgm:pt modelId="{09DDCFB3-ACDF-487A-9837-7280780E5F30}" type="parTrans" cxnId="{6388008E-4B6A-48C1-ADE8-18BA056AFB79}">
      <dgm:prSet/>
      <dgm:spPr/>
      <dgm:t>
        <a:bodyPr/>
        <a:lstStyle/>
        <a:p>
          <a:endParaRPr lang="en-US"/>
        </a:p>
      </dgm:t>
    </dgm:pt>
    <dgm:pt modelId="{6D5B2E1E-0F61-476E-AD54-A036DAC28AB8}" type="sibTrans" cxnId="{6388008E-4B6A-48C1-ADE8-18BA056AFB79}">
      <dgm:prSet/>
      <dgm:spPr/>
      <dgm:t>
        <a:bodyPr/>
        <a:lstStyle/>
        <a:p>
          <a:endParaRPr lang="en-US"/>
        </a:p>
      </dgm:t>
    </dgm:pt>
    <dgm:pt modelId="{A5D29F01-55CE-4E63-96CA-680B65FD8863}">
      <dgm:prSet phldrT="[Text]" custT="1"/>
      <dgm:spPr/>
      <dgm:t>
        <a:bodyPr/>
        <a:lstStyle/>
        <a:p>
          <a:pPr rtl="0"/>
          <a:r>
            <a:rPr lang="en-US" sz="1000" b="1"/>
            <a:t>Vertically integrated</a:t>
          </a:r>
        </a:p>
      </dgm:t>
    </dgm:pt>
    <dgm:pt modelId="{9AB17F00-4601-478D-8326-8EF0D62E113A}" type="parTrans" cxnId="{729A94C0-E9AF-4E57-A644-9CE7804F153E}">
      <dgm:prSet/>
      <dgm:spPr/>
      <dgm:t>
        <a:bodyPr/>
        <a:lstStyle/>
        <a:p>
          <a:endParaRPr lang="en-US"/>
        </a:p>
      </dgm:t>
    </dgm:pt>
    <dgm:pt modelId="{0CC13FF0-95E7-4F00-8CAB-5AE37A71C241}" type="sibTrans" cxnId="{729A94C0-E9AF-4E57-A644-9CE7804F153E}">
      <dgm:prSet/>
      <dgm:spPr/>
      <dgm:t>
        <a:bodyPr/>
        <a:lstStyle/>
        <a:p>
          <a:endParaRPr lang="en-US"/>
        </a:p>
      </dgm:t>
    </dgm:pt>
    <dgm:pt modelId="{240910E3-4809-4EF4-892C-B37D858FE599}">
      <dgm:prSet phldrT="[Text]" custT="1"/>
      <dgm:spPr/>
      <dgm:t>
        <a:bodyPr/>
        <a:lstStyle/>
        <a:p>
          <a:pPr rtl="0"/>
          <a:r>
            <a:rPr lang="en-US" sz="1000" b="1"/>
            <a:t>Global footprint</a:t>
          </a:r>
        </a:p>
      </dgm:t>
    </dgm:pt>
    <dgm:pt modelId="{BC8D6918-73C8-4B70-A0FE-5ABF76E9EDFB}" type="parTrans" cxnId="{134599E9-91F1-4EC6-A423-BC346EF90FB5}">
      <dgm:prSet/>
      <dgm:spPr/>
      <dgm:t>
        <a:bodyPr/>
        <a:lstStyle/>
        <a:p>
          <a:endParaRPr lang="en-US"/>
        </a:p>
      </dgm:t>
    </dgm:pt>
    <dgm:pt modelId="{8A0C1F4A-46CE-4E8C-9F95-86DEB760DCDD}" type="sibTrans" cxnId="{134599E9-91F1-4EC6-A423-BC346EF90FB5}">
      <dgm:prSet/>
      <dgm:spPr/>
      <dgm:t>
        <a:bodyPr/>
        <a:lstStyle/>
        <a:p>
          <a:endParaRPr lang="en-US"/>
        </a:p>
      </dgm:t>
    </dgm:pt>
    <dgm:pt modelId="{E67BDC5C-D1B5-4F92-9DD8-19843BF8C461}">
      <dgm:prSet phldrT="[Text]" custT="1"/>
      <dgm:spPr/>
      <dgm:t>
        <a:bodyPr/>
        <a:lstStyle/>
        <a:p>
          <a:pPr rtl="0"/>
          <a:r>
            <a:rPr lang="en-US" sz="1000" b="1"/>
            <a:t>Sketch to Scale</a:t>
          </a:r>
        </a:p>
      </dgm:t>
    </dgm:pt>
    <dgm:pt modelId="{B880B539-24A1-4D31-B9BE-BFBECE4EFF2E}" type="parTrans" cxnId="{F0E9BA29-AEFC-4FB8-B9AA-B1EC25C6AF35}">
      <dgm:prSet/>
      <dgm:spPr/>
      <dgm:t>
        <a:bodyPr/>
        <a:lstStyle/>
        <a:p>
          <a:endParaRPr lang="en-US"/>
        </a:p>
      </dgm:t>
    </dgm:pt>
    <dgm:pt modelId="{1EA48B5E-65B1-41C7-8516-F06D7E231087}" type="sibTrans" cxnId="{F0E9BA29-AEFC-4FB8-B9AA-B1EC25C6AF35}">
      <dgm:prSet/>
      <dgm:spPr/>
      <dgm:t>
        <a:bodyPr/>
        <a:lstStyle/>
        <a:p>
          <a:endParaRPr lang="en-US"/>
        </a:p>
      </dgm:t>
    </dgm:pt>
    <dgm:pt modelId="{64FD9B5B-96AC-4530-8ED8-B22B6CFDCF22}">
      <dgm:prSet phldrT="[Text]" custT="1"/>
      <dgm:spPr/>
      <dgm:t>
        <a:bodyPr/>
        <a:lstStyle/>
        <a:p>
          <a:pPr rtl="0"/>
          <a:r>
            <a:rPr lang="en-US" sz="1000" b="1"/>
            <a:t>Diversified end markets</a:t>
          </a:r>
        </a:p>
      </dgm:t>
    </dgm:pt>
    <dgm:pt modelId="{F7BA05EA-3073-4B56-9A01-5656A9688E5C}" type="parTrans" cxnId="{8AC2792F-F076-4AD9-9CF4-FDC0CE46431C}">
      <dgm:prSet/>
      <dgm:spPr/>
      <dgm:t>
        <a:bodyPr/>
        <a:lstStyle/>
        <a:p>
          <a:endParaRPr lang="en-US"/>
        </a:p>
      </dgm:t>
    </dgm:pt>
    <dgm:pt modelId="{10F6D3A9-F288-4EE5-B651-703072096495}" type="sibTrans" cxnId="{8AC2792F-F076-4AD9-9CF4-FDC0CE46431C}">
      <dgm:prSet/>
      <dgm:spPr/>
      <dgm:t>
        <a:bodyPr/>
        <a:lstStyle/>
        <a:p>
          <a:endParaRPr lang="en-US"/>
        </a:p>
      </dgm:t>
    </dgm:pt>
    <dgm:pt modelId="{8823F905-F988-4C6D-848C-16E54ABAA18D}">
      <dgm:prSet phldrT="[Text]" custT="1"/>
      <dgm:spPr/>
      <dgm:t>
        <a:bodyPr/>
        <a:lstStyle/>
        <a:p>
          <a:pPr rtl="0"/>
          <a:r>
            <a:rPr lang="en-US" sz="1000" b="1"/>
            <a:t>Adventageous pricing power</a:t>
          </a:r>
        </a:p>
      </dgm:t>
    </dgm:pt>
    <dgm:pt modelId="{3274A423-00D6-49BC-83EE-35378804DEFF}" type="parTrans" cxnId="{6B2C98F3-C49A-433F-B026-C21C81B349A3}">
      <dgm:prSet/>
      <dgm:spPr/>
      <dgm:t>
        <a:bodyPr/>
        <a:lstStyle/>
        <a:p>
          <a:endParaRPr lang="en-US"/>
        </a:p>
      </dgm:t>
    </dgm:pt>
    <dgm:pt modelId="{C6F966DD-E0F4-4186-93A1-0E2B7408D782}" type="sibTrans" cxnId="{6B2C98F3-C49A-433F-B026-C21C81B349A3}">
      <dgm:prSet/>
      <dgm:spPr/>
      <dgm:t>
        <a:bodyPr/>
        <a:lstStyle/>
        <a:p>
          <a:endParaRPr lang="en-US"/>
        </a:p>
      </dgm:t>
    </dgm:pt>
    <dgm:pt modelId="{F37B3A2F-515A-4473-9A95-9F825A583683}">
      <dgm:prSet phldrT="[Text]"/>
      <dgm:spPr/>
      <dgm:t>
        <a:bodyPr/>
        <a:lstStyle/>
        <a:p>
          <a:r>
            <a:rPr lang="en-US" b="1"/>
            <a:t>High customer bargaining power in high volume, low complexity products</a:t>
          </a:r>
        </a:p>
      </dgm:t>
    </dgm:pt>
    <dgm:pt modelId="{B1B60E57-6FFE-4111-82A1-31E2774F386F}" type="parTrans" cxnId="{BC8DE6F6-3CF6-4ADB-A2FB-64194ECCFBA6}">
      <dgm:prSet/>
      <dgm:spPr/>
      <dgm:t>
        <a:bodyPr/>
        <a:lstStyle/>
        <a:p>
          <a:endParaRPr lang="en-US"/>
        </a:p>
      </dgm:t>
    </dgm:pt>
    <dgm:pt modelId="{672E9048-0BD3-475B-9EF6-93E52953536B}" type="sibTrans" cxnId="{BC8DE6F6-3CF6-4ADB-A2FB-64194ECCFBA6}">
      <dgm:prSet/>
      <dgm:spPr/>
      <dgm:t>
        <a:bodyPr/>
        <a:lstStyle/>
        <a:p>
          <a:endParaRPr lang="en-US"/>
        </a:p>
      </dgm:t>
    </dgm:pt>
    <dgm:pt modelId="{050D8034-0C87-4394-B1ED-A8072FC3E210}">
      <dgm:prSet phldrT="[Text]"/>
      <dgm:spPr/>
      <dgm:t>
        <a:bodyPr/>
        <a:lstStyle/>
        <a:p>
          <a:endParaRPr lang="en-US" sz="600"/>
        </a:p>
      </dgm:t>
    </dgm:pt>
    <dgm:pt modelId="{5AC63A30-5C82-4184-B888-9C115B037889}" type="parTrans" cxnId="{25CCE509-F1E4-4210-A7E8-3715AE7E84CC}">
      <dgm:prSet/>
      <dgm:spPr/>
      <dgm:t>
        <a:bodyPr/>
        <a:lstStyle/>
        <a:p>
          <a:endParaRPr lang="en-US"/>
        </a:p>
      </dgm:t>
    </dgm:pt>
    <dgm:pt modelId="{4DEE1568-9D62-47E0-9FA6-0BEE5EBD93DA}" type="sibTrans" cxnId="{25CCE509-F1E4-4210-A7E8-3715AE7E84CC}">
      <dgm:prSet/>
      <dgm:spPr/>
      <dgm:t>
        <a:bodyPr/>
        <a:lstStyle/>
        <a:p>
          <a:endParaRPr lang="en-US"/>
        </a:p>
      </dgm:t>
    </dgm:pt>
    <dgm:pt modelId="{F1A6CE63-5D48-435D-9EA0-6AAA15462730}">
      <dgm:prSet phldrT="[Text]"/>
      <dgm:spPr/>
      <dgm:t>
        <a:bodyPr/>
        <a:lstStyle/>
        <a:p>
          <a:endParaRPr lang="en-US" sz="600"/>
        </a:p>
      </dgm:t>
    </dgm:pt>
    <dgm:pt modelId="{BFC1E171-692F-45FA-B02A-1F6899AAA9BC}" type="parTrans" cxnId="{2986DF29-F99A-4EDC-8F24-AD84534EBA1F}">
      <dgm:prSet/>
      <dgm:spPr/>
      <dgm:t>
        <a:bodyPr/>
        <a:lstStyle/>
        <a:p>
          <a:endParaRPr lang="en-US"/>
        </a:p>
      </dgm:t>
    </dgm:pt>
    <dgm:pt modelId="{7E674670-693B-4FC6-B345-25A4090B8206}" type="sibTrans" cxnId="{2986DF29-F99A-4EDC-8F24-AD84534EBA1F}">
      <dgm:prSet/>
      <dgm:spPr/>
      <dgm:t>
        <a:bodyPr/>
        <a:lstStyle/>
        <a:p>
          <a:endParaRPr lang="en-US"/>
        </a:p>
      </dgm:t>
    </dgm:pt>
    <dgm:pt modelId="{79E1465D-EA5D-42B6-B1B1-99134CCAD721}">
      <dgm:prSet phldrT="[Text]"/>
      <dgm:spPr/>
      <dgm:t>
        <a:bodyPr/>
        <a:lstStyle/>
        <a:p>
          <a:endParaRPr lang="en-US" sz="600"/>
        </a:p>
      </dgm:t>
    </dgm:pt>
    <dgm:pt modelId="{98B03848-A7AB-4CFA-A314-06D9B15EAF06}" type="parTrans" cxnId="{164D9CAF-C3C1-454E-A8C8-ED63328BE8EC}">
      <dgm:prSet/>
      <dgm:spPr/>
      <dgm:t>
        <a:bodyPr/>
        <a:lstStyle/>
        <a:p>
          <a:endParaRPr lang="en-US"/>
        </a:p>
      </dgm:t>
    </dgm:pt>
    <dgm:pt modelId="{BD8174AD-E224-496F-B9CD-73FB1B19EE2D}" type="sibTrans" cxnId="{164D9CAF-C3C1-454E-A8C8-ED63328BE8EC}">
      <dgm:prSet/>
      <dgm:spPr/>
      <dgm:t>
        <a:bodyPr/>
        <a:lstStyle/>
        <a:p>
          <a:endParaRPr lang="en-US"/>
        </a:p>
      </dgm:t>
    </dgm:pt>
    <dgm:pt modelId="{B7B8DB3A-C856-45D9-8DD9-C85B82CF213C}">
      <dgm:prSet phldrT="[Text]" custT="1"/>
      <dgm:spPr/>
      <dgm:t>
        <a:bodyPr/>
        <a:lstStyle/>
        <a:p>
          <a:r>
            <a:rPr lang="en-US" sz="1000" b="1"/>
            <a:t>High margin end markets: medical, aerospace, defense </a:t>
          </a:r>
        </a:p>
      </dgm:t>
    </dgm:pt>
    <dgm:pt modelId="{20E5B335-E730-443D-B01B-8A0DBEDE0C6B}" type="parTrans" cxnId="{5A0A0F5D-4563-446F-B8ED-E46DD85D4633}">
      <dgm:prSet/>
      <dgm:spPr/>
      <dgm:t>
        <a:bodyPr/>
        <a:lstStyle/>
        <a:p>
          <a:endParaRPr lang="en-US"/>
        </a:p>
      </dgm:t>
    </dgm:pt>
    <dgm:pt modelId="{562904E6-73A4-474A-A6F6-4F2192E5C0FE}" type="sibTrans" cxnId="{5A0A0F5D-4563-446F-B8ED-E46DD85D4633}">
      <dgm:prSet/>
      <dgm:spPr/>
      <dgm:t>
        <a:bodyPr/>
        <a:lstStyle/>
        <a:p>
          <a:endParaRPr lang="en-US"/>
        </a:p>
      </dgm:t>
    </dgm:pt>
    <dgm:pt modelId="{A069C6D8-2864-445C-9B41-47C435A75276}">
      <dgm:prSet phldrT="[Text]" custT="1"/>
      <dgm:spPr/>
      <dgm:t>
        <a:bodyPr/>
        <a:lstStyle/>
        <a:p>
          <a:r>
            <a:rPr lang="en-US" sz="1000" b="1"/>
            <a:t>Increase automation to reduce labor expense and increase output and quality</a:t>
          </a:r>
        </a:p>
      </dgm:t>
    </dgm:pt>
    <dgm:pt modelId="{75DB82EC-4E49-446D-BE26-8949E6EF7B46}" type="parTrans" cxnId="{EFB446B7-7644-4B12-BA05-5AF40F4649D5}">
      <dgm:prSet/>
      <dgm:spPr/>
      <dgm:t>
        <a:bodyPr/>
        <a:lstStyle/>
        <a:p>
          <a:endParaRPr lang="en-US"/>
        </a:p>
      </dgm:t>
    </dgm:pt>
    <dgm:pt modelId="{7807C0DE-F3D8-4F0B-BDDD-6BE9BC9EC57B}" type="sibTrans" cxnId="{EFB446B7-7644-4B12-BA05-5AF40F4649D5}">
      <dgm:prSet/>
      <dgm:spPr/>
      <dgm:t>
        <a:bodyPr/>
        <a:lstStyle/>
        <a:p>
          <a:endParaRPr lang="en-US"/>
        </a:p>
      </dgm:t>
    </dgm:pt>
    <dgm:pt modelId="{76D28368-ADDB-4B7B-B500-2FC89F21F1A8}">
      <dgm:prSet phldrT="[Text]" custT="1"/>
      <dgm:spPr/>
      <dgm:t>
        <a:bodyPr/>
        <a:lstStyle/>
        <a:p>
          <a:r>
            <a:rPr lang="en-US" sz="1000" b="1"/>
            <a:t>Rival consolidation and/or copycat behavior</a:t>
          </a:r>
        </a:p>
      </dgm:t>
    </dgm:pt>
    <dgm:pt modelId="{8A2097AA-21D1-4744-B56B-F03B6FD44174}" type="parTrans" cxnId="{CAB16A69-01F1-4684-AD3F-DD7D659528F0}">
      <dgm:prSet/>
      <dgm:spPr/>
      <dgm:t>
        <a:bodyPr/>
        <a:lstStyle/>
        <a:p>
          <a:endParaRPr lang="en-US"/>
        </a:p>
      </dgm:t>
    </dgm:pt>
    <dgm:pt modelId="{0AA98927-19B5-470E-8AAD-F49490E5AAAC}" type="sibTrans" cxnId="{CAB16A69-01F1-4684-AD3F-DD7D659528F0}">
      <dgm:prSet/>
      <dgm:spPr/>
      <dgm:t>
        <a:bodyPr/>
        <a:lstStyle/>
        <a:p>
          <a:endParaRPr lang="en-US"/>
        </a:p>
      </dgm:t>
    </dgm:pt>
    <dgm:pt modelId="{320410C7-B72A-4FB4-B92D-F95F7902BD54}">
      <dgm:prSet phldrT="[Text]" custT="1"/>
      <dgm:spPr/>
      <dgm:t>
        <a:bodyPr/>
        <a:lstStyle/>
        <a:p>
          <a:r>
            <a:rPr lang="en-US" sz="1000" b="1"/>
            <a:t>Overcapacity in manufacturing, driving down margins</a:t>
          </a:r>
        </a:p>
      </dgm:t>
    </dgm:pt>
    <dgm:pt modelId="{6BE63388-D4E2-4E5B-9528-8BE1848C1519}" type="parTrans" cxnId="{CB43FF1B-E698-4B92-A9F8-A59FFCFBF72D}">
      <dgm:prSet/>
      <dgm:spPr/>
      <dgm:t>
        <a:bodyPr/>
        <a:lstStyle/>
        <a:p>
          <a:endParaRPr lang="en-US"/>
        </a:p>
      </dgm:t>
    </dgm:pt>
    <dgm:pt modelId="{7CDE0FE9-9CEA-4749-AFA0-E275E3489282}" type="sibTrans" cxnId="{CB43FF1B-E698-4B92-A9F8-A59FFCFBF72D}">
      <dgm:prSet/>
      <dgm:spPr/>
      <dgm:t>
        <a:bodyPr/>
        <a:lstStyle/>
        <a:p>
          <a:endParaRPr lang="en-US"/>
        </a:p>
      </dgm:t>
    </dgm:pt>
    <dgm:pt modelId="{B66C54C9-0B78-4CE0-9E22-1E67B020763A}" type="pres">
      <dgm:prSet presAssocID="{28021C34-CB9A-4793-AE78-9D33A0D998F3}" presName="cycleMatrixDiagram" presStyleCnt="0">
        <dgm:presLayoutVars>
          <dgm:chMax val="1"/>
          <dgm:dir/>
          <dgm:animLvl val="lvl"/>
          <dgm:resizeHandles val="exact"/>
        </dgm:presLayoutVars>
      </dgm:prSet>
      <dgm:spPr/>
    </dgm:pt>
    <dgm:pt modelId="{4188EA7D-A4BF-4DA1-982F-B3B681BD75A7}" type="pres">
      <dgm:prSet presAssocID="{28021C34-CB9A-4793-AE78-9D33A0D998F3}" presName="children" presStyleCnt="0"/>
      <dgm:spPr/>
    </dgm:pt>
    <dgm:pt modelId="{5A3844CA-3A0B-4DE6-A4A7-2420F18C668A}" type="pres">
      <dgm:prSet presAssocID="{28021C34-CB9A-4793-AE78-9D33A0D998F3}" presName="child1group" presStyleCnt="0"/>
      <dgm:spPr/>
    </dgm:pt>
    <dgm:pt modelId="{91881CA5-955A-4CED-A4FD-F64587B49044}" type="pres">
      <dgm:prSet presAssocID="{28021C34-CB9A-4793-AE78-9D33A0D998F3}" presName="child1" presStyleLbl="bgAcc1" presStyleIdx="0" presStyleCnt="4"/>
      <dgm:spPr/>
    </dgm:pt>
    <dgm:pt modelId="{AED04EBD-B74D-4626-B4BB-3BC4B6F19E7C}" type="pres">
      <dgm:prSet presAssocID="{28021C34-CB9A-4793-AE78-9D33A0D998F3}" presName="child1Text" presStyleLbl="bgAcc1" presStyleIdx="0" presStyleCnt="4">
        <dgm:presLayoutVars>
          <dgm:bulletEnabled val="1"/>
        </dgm:presLayoutVars>
      </dgm:prSet>
      <dgm:spPr/>
    </dgm:pt>
    <dgm:pt modelId="{24A867EC-2D06-4420-8A16-D0250DBE9F30}" type="pres">
      <dgm:prSet presAssocID="{28021C34-CB9A-4793-AE78-9D33A0D998F3}" presName="child2group" presStyleCnt="0"/>
      <dgm:spPr/>
    </dgm:pt>
    <dgm:pt modelId="{531C73E3-4123-49C4-A8B2-4D0D25951339}" type="pres">
      <dgm:prSet presAssocID="{28021C34-CB9A-4793-AE78-9D33A0D998F3}" presName="child2" presStyleLbl="bgAcc1" presStyleIdx="1" presStyleCnt="4"/>
      <dgm:spPr/>
    </dgm:pt>
    <dgm:pt modelId="{7F7C1685-92EE-4978-A2D4-0BDB494C03E5}" type="pres">
      <dgm:prSet presAssocID="{28021C34-CB9A-4793-AE78-9D33A0D998F3}" presName="child2Text" presStyleLbl="bgAcc1" presStyleIdx="1" presStyleCnt="4">
        <dgm:presLayoutVars>
          <dgm:bulletEnabled val="1"/>
        </dgm:presLayoutVars>
      </dgm:prSet>
      <dgm:spPr/>
    </dgm:pt>
    <dgm:pt modelId="{BA5360CE-5B24-4DCB-99CD-B684CF29EFEE}" type="pres">
      <dgm:prSet presAssocID="{28021C34-CB9A-4793-AE78-9D33A0D998F3}" presName="child3group" presStyleCnt="0"/>
      <dgm:spPr/>
    </dgm:pt>
    <dgm:pt modelId="{A486A46A-4A99-4C63-A22E-883BC5AC03AD}" type="pres">
      <dgm:prSet presAssocID="{28021C34-CB9A-4793-AE78-9D33A0D998F3}" presName="child3" presStyleLbl="bgAcc1" presStyleIdx="2" presStyleCnt="4" custLinFactNeighborX="8015" custLinFactNeighborY="-4836"/>
      <dgm:spPr/>
    </dgm:pt>
    <dgm:pt modelId="{8B8F5DE9-08A3-4B57-9225-022BEBCBE937}" type="pres">
      <dgm:prSet presAssocID="{28021C34-CB9A-4793-AE78-9D33A0D998F3}" presName="child3Text" presStyleLbl="bgAcc1" presStyleIdx="2" presStyleCnt="4">
        <dgm:presLayoutVars>
          <dgm:bulletEnabled val="1"/>
        </dgm:presLayoutVars>
      </dgm:prSet>
      <dgm:spPr/>
    </dgm:pt>
    <dgm:pt modelId="{F8A2384F-3560-4EA6-A4F1-C99C5E688086}" type="pres">
      <dgm:prSet presAssocID="{28021C34-CB9A-4793-AE78-9D33A0D998F3}" presName="child4group" presStyleCnt="0"/>
      <dgm:spPr/>
    </dgm:pt>
    <dgm:pt modelId="{555B9272-BDCD-4B2E-AC5C-0B0BF4DFAB69}" type="pres">
      <dgm:prSet presAssocID="{28021C34-CB9A-4793-AE78-9D33A0D998F3}" presName="child4" presStyleLbl="bgAcc1" presStyleIdx="3" presStyleCnt="4"/>
      <dgm:spPr/>
    </dgm:pt>
    <dgm:pt modelId="{6602A98D-7C6A-4644-AFF0-0418ED2B1C75}" type="pres">
      <dgm:prSet presAssocID="{28021C34-CB9A-4793-AE78-9D33A0D998F3}" presName="child4Text" presStyleLbl="bgAcc1" presStyleIdx="3" presStyleCnt="4">
        <dgm:presLayoutVars>
          <dgm:bulletEnabled val="1"/>
        </dgm:presLayoutVars>
      </dgm:prSet>
      <dgm:spPr/>
    </dgm:pt>
    <dgm:pt modelId="{A2E68CA9-1792-40CD-B957-665B79F14653}" type="pres">
      <dgm:prSet presAssocID="{28021C34-CB9A-4793-AE78-9D33A0D998F3}" presName="childPlaceholder" presStyleCnt="0"/>
      <dgm:spPr/>
    </dgm:pt>
    <dgm:pt modelId="{AF23643A-AC8F-42AD-8355-83F7BB7C2B11}" type="pres">
      <dgm:prSet presAssocID="{28021C34-CB9A-4793-AE78-9D33A0D998F3}" presName="circle" presStyleCnt="0"/>
      <dgm:spPr/>
    </dgm:pt>
    <dgm:pt modelId="{6A3C8D03-5691-4D05-B57F-B52CA8AA8E95}" type="pres">
      <dgm:prSet presAssocID="{28021C34-CB9A-4793-AE78-9D33A0D998F3}" presName="quadrant1" presStyleLbl="node1" presStyleIdx="0" presStyleCnt="4">
        <dgm:presLayoutVars>
          <dgm:chMax val="1"/>
          <dgm:bulletEnabled val="1"/>
        </dgm:presLayoutVars>
      </dgm:prSet>
      <dgm:spPr/>
    </dgm:pt>
    <dgm:pt modelId="{CE7AEBCC-D40E-402A-B5E8-E2267F7193B0}" type="pres">
      <dgm:prSet presAssocID="{28021C34-CB9A-4793-AE78-9D33A0D998F3}" presName="quadrant2" presStyleLbl="node1" presStyleIdx="1" presStyleCnt="4">
        <dgm:presLayoutVars>
          <dgm:chMax val="1"/>
          <dgm:bulletEnabled val="1"/>
        </dgm:presLayoutVars>
      </dgm:prSet>
      <dgm:spPr/>
    </dgm:pt>
    <dgm:pt modelId="{BE5E79E1-1909-441C-9398-1E6A4C185E7A}" type="pres">
      <dgm:prSet presAssocID="{28021C34-CB9A-4793-AE78-9D33A0D998F3}" presName="quadrant3" presStyleLbl="node1" presStyleIdx="2" presStyleCnt="4">
        <dgm:presLayoutVars>
          <dgm:chMax val="1"/>
          <dgm:bulletEnabled val="1"/>
        </dgm:presLayoutVars>
      </dgm:prSet>
      <dgm:spPr/>
    </dgm:pt>
    <dgm:pt modelId="{DC907D5A-C7A0-43CF-9555-DCCDF9502430}" type="pres">
      <dgm:prSet presAssocID="{28021C34-CB9A-4793-AE78-9D33A0D998F3}" presName="quadrant4" presStyleLbl="node1" presStyleIdx="3" presStyleCnt="4">
        <dgm:presLayoutVars>
          <dgm:chMax val="1"/>
          <dgm:bulletEnabled val="1"/>
        </dgm:presLayoutVars>
      </dgm:prSet>
      <dgm:spPr/>
    </dgm:pt>
    <dgm:pt modelId="{71ECAB01-4048-442A-85B7-DEC85FAA6CA8}" type="pres">
      <dgm:prSet presAssocID="{28021C34-CB9A-4793-AE78-9D33A0D998F3}" presName="quadrantPlaceholder" presStyleCnt="0"/>
      <dgm:spPr/>
    </dgm:pt>
    <dgm:pt modelId="{71CE5687-2368-4B08-811B-426DCA289B61}" type="pres">
      <dgm:prSet presAssocID="{28021C34-CB9A-4793-AE78-9D33A0D998F3}" presName="center1" presStyleLbl="fgShp" presStyleIdx="0" presStyleCnt="2"/>
      <dgm:spPr/>
    </dgm:pt>
    <dgm:pt modelId="{BBBF74CE-B9FF-4A06-8F4F-E3866EB78C19}" type="pres">
      <dgm:prSet presAssocID="{28021C34-CB9A-4793-AE78-9D33A0D998F3}" presName="center2" presStyleLbl="fgShp" presStyleIdx="1" presStyleCnt="2"/>
      <dgm:spPr/>
    </dgm:pt>
  </dgm:ptLst>
  <dgm:cxnLst>
    <dgm:cxn modelId="{9D687500-02B0-4E2B-90F6-6E7FA1AEAC72}" type="presOf" srcId="{8823F905-F988-4C6D-848C-16E54ABAA18D}" destId="{AED04EBD-B74D-4626-B4BB-3BC4B6F19E7C}" srcOrd="1" destOrd="5" presId="urn:microsoft.com/office/officeart/2005/8/layout/cycle4"/>
    <dgm:cxn modelId="{3A7AAF04-9AEA-4172-B0A3-C45299FC3183}" type="presOf" srcId="{060F0D0A-F249-45D1-9A52-B5514FF259D6}" destId="{8B8F5DE9-08A3-4B57-9225-022BEBCBE937}" srcOrd="1" destOrd="0" presId="urn:microsoft.com/office/officeart/2005/8/layout/cycle4"/>
    <dgm:cxn modelId="{25CCE509-F1E4-4210-A7E8-3715AE7E84CC}" srcId="{6EDC6329-D2AB-4013-8940-7D9630D44ECE}" destId="{050D8034-0C87-4394-B1ED-A8072FC3E210}" srcOrd="3" destOrd="0" parTransId="{5AC63A30-5C82-4184-B888-9C115B037889}" sibTransId="{4DEE1568-9D62-47E0-9FA6-0BEE5EBD93DA}"/>
    <dgm:cxn modelId="{911A580A-1E63-45D8-8E05-CBB7A7F7827A}" type="presOf" srcId="{F37B3A2F-515A-4473-9A95-9F825A583683}" destId="{7F7C1685-92EE-4978-A2D4-0BDB494C03E5}" srcOrd="1" destOrd="1" presId="urn:microsoft.com/office/officeart/2005/8/layout/cycle4"/>
    <dgm:cxn modelId="{CC0FE00A-DFFF-4AF1-84C4-47771E0E129C}" type="presOf" srcId="{A069C6D8-2864-445C-9B41-47C435A75276}" destId="{8B8F5DE9-08A3-4B57-9225-022BEBCBE937}" srcOrd="1" destOrd="2" presId="urn:microsoft.com/office/officeart/2005/8/layout/cycle4"/>
    <dgm:cxn modelId="{CB43FF1B-E698-4B92-A9F8-A59FFCFBF72D}" srcId="{1759E742-2E1D-4CFC-A16D-8E2B549D6203}" destId="{320410C7-B72A-4FB4-B92D-F95F7902BD54}" srcOrd="2" destOrd="0" parTransId="{6BE63388-D4E2-4E5B-9528-8BE1848C1519}" sibTransId="{7CDE0FE9-9CEA-4749-AFA0-E275E3489282}"/>
    <dgm:cxn modelId="{1AFC1320-C0A4-4A5C-B9F4-862CFB1E8C60}" type="presOf" srcId="{A5D29F01-55CE-4E63-96CA-680B65FD8863}" destId="{91881CA5-955A-4CED-A4FD-F64587B49044}" srcOrd="0" destOrd="1" presId="urn:microsoft.com/office/officeart/2005/8/layout/cycle4"/>
    <dgm:cxn modelId="{DFBC7422-8CBA-451E-9BDA-56BFD80759F9}" type="presOf" srcId="{6EDC6329-D2AB-4013-8940-7D9630D44ECE}" destId="{BE5E79E1-1909-441C-9398-1E6A4C185E7A}" srcOrd="0" destOrd="0" presId="urn:microsoft.com/office/officeart/2005/8/layout/cycle4"/>
    <dgm:cxn modelId="{F0E9BA29-AEFC-4FB8-B9AA-B1EC25C6AF35}" srcId="{A2B745FC-9F92-411F-B292-C7B71C4AFC1F}" destId="{E67BDC5C-D1B5-4F92-9DD8-19843BF8C461}" srcOrd="3" destOrd="0" parTransId="{B880B539-24A1-4D31-B9BE-BFBECE4EFF2E}" sibTransId="{1EA48B5E-65B1-41C7-8516-F06D7E231087}"/>
    <dgm:cxn modelId="{2986DF29-F99A-4EDC-8F24-AD84534EBA1F}" srcId="{6EDC6329-D2AB-4013-8940-7D9630D44ECE}" destId="{F1A6CE63-5D48-435D-9EA0-6AAA15462730}" srcOrd="4" destOrd="0" parTransId="{BFC1E171-692F-45FA-B02A-1F6899AAA9BC}" sibTransId="{7E674670-693B-4FC6-B345-25A4090B8206}"/>
    <dgm:cxn modelId="{7E6B3B2A-4DF0-42CB-82C3-D00EDD7BFED5}" type="presOf" srcId="{F37B3A2F-515A-4473-9A95-9F825A583683}" destId="{531C73E3-4123-49C4-A8B2-4D0D25951339}" srcOrd="0" destOrd="1" presId="urn:microsoft.com/office/officeart/2005/8/layout/cycle4"/>
    <dgm:cxn modelId="{4E57E82A-680E-427C-97C0-DE90D1BC6560}" type="presOf" srcId="{A2B745FC-9F92-411F-B292-C7B71C4AFC1F}" destId="{6A3C8D03-5691-4D05-B57F-B52CA8AA8E95}" srcOrd="0" destOrd="0" presId="urn:microsoft.com/office/officeart/2005/8/layout/cycle4"/>
    <dgm:cxn modelId="{DEB5C42E-C5AC-4F4C-81D4-CA627369F864}" type="presOf" srcId="{64FD9B5B-96AC-4530-8ED8-B22B6CFDCF22}" destId="{AED04EBD-B74D-4626-B4BB-3BC4B6F19E7C}" srcOrd="1" destOrd="4" presId="urn:microsoft.com/office/officeart/2005/8/layout/cycle4"/>
    <dgm:cxn modelId="{8AC2792F-F076-4AD9-9CF4-FDC0CE46431C}" srcId="{A2B745FC-9F92-411F-B292-C7B71C4AFC1F}" destId="{64FD9B5B-96AC-4530-8ED8-B22B6CFDCF22}" srcOrd="4" destOrd="0" parTransId="{F7BA05EA-3073-4B56-9A01-5656A9688E5C}" sibTransId="{10F6D3A9-F288-4EE5-B651-703072096495}"/>
    <dgm:cxn modelId="{C51B3130-A6C9-4C20-9D82-FC722F12AC61}" type="presOf" srcId="{A069C6D8-2864-445C-9B41-47C435A75276}" destId="{A486A46A-4A99-4C63-A22E-883BC5AC03AD}" srcOrd="0" destOrd="2" presId="urn:microsoft.com/office/officeart/2005/8/layout/cycle4"/>
    <dgm:cxn modelId="{ACC6B630-F2D1-4489-B511-57547413DE3E}" type="presOf" srcId="{28021C34-CB9A-4793-AE78-9D33A0D998F3}" destId="{B66C54C9-0B78-4CE0-9E22-1E67B020763A}" srcOrd="0" destOrd="0" presId="urn:microsoft.com/office/officeart/2005/8/layout/cycle4"/>
    <dgm:cxn modelId="{59D6563F-7588-407C-BFF9-301153AADA2E}" type="presOf" srcId="{79E1465D-EA5D-42B6-B1B1-99134CCAD721}" destId="{8B8F5DE9-08A3-4B57-9225-022BEBCBE937}" srcOrd="1" destOrd="5" presId="urn:microsoft.com/office/officeart/2005/8/layout/cycle4"/>
    <dgm:cxn modelId="{13EBE541-B048-4504-8019-1192E8CBA706}" type="presOf" srcId="{64FD9B5B-96AC-4530-8ED8-B22B6CFDCF22}" destId="{91881CA5-955A-4CED-A4FD-F64587B49044}" srcOrd="0" destOrd="4" presId="urn:microsoft.com/office/officeart/2005/8/layout/cycle4"/>
    <dgm:cxn modelId="{5C6C2C43-9A75-4E76-A990-4DB7A44217B4}" type="presOf" srcId="{B7B8DB3A-C856-45D9-8DD9-C85B82CF213C}" destId="{8B8F5DE9-08A3-4B57-9225-022BEBCBE937}" srcOrd="1" destOrd="1" presId="urn:microsoft.com/office/officeart/2005/8/layout/cycle4"/>
    <dgm:cxn modelId="{13D49C4C-8AC1-4246-8270-AF374CA21F44}" type="presOf" srcId="{F1A6CE63-5D48-435D-9EA0-6AAA15462730}" destId="{A486A46A-4A99-4C63-A22E-883BC5AC03AD}" srcOrd="0" destOrd="4" presId="urn:microsoft.com/office/officeart/2005/8/layout/cycle4"/>
    <dgm:cxn modelId="{F14C9954-DF0D-4A9E-A071-BC326CE9DD43}" type="presOf" srcId="{AE1700D6-9E0C-4CA2-AC71-9D81E8D3BBFB}" destId="{AED04EBD-B74D-4626-B4BB-3BC4B6F19E7C}" srcOrd="1" destOrd="0" presId="urn:microsoft.com/office/officeart/2005/8/layout/cycle4"/>
    <dgm:cxn modelId="{CA445A5B-F53E-46E2-9468-74B7D5918BC4}" type="presOf" srcId="{A9A8406B-E6BF-4BC8-B5DE-D535D1CEE041}" destId="{555B9272-BDCD-4B2E-AC5C-0B0BF4DFAB69}" srcOrd="0" destOrd="0" presId="urn:microsoft.com/office/officeart/2005/8/layout/cycle4"/>
    <dgm:cxn modelId="{5A0A0F5D-4563-446F-B8ED-E46DD85D4633}" srcId="{6EDC6329-D2AB-4013-8940-7D9630D44ECE}" destId="{B7B8DB3A-C856-45D9-8DD9-C85B82CF213C}" srcOrd="1" destOrd="0" parTransId="{20E5B335-E730-443D-B01B-8A0DBEDE0C6B}" sibTransId="{562904E6-73A4-474A-A6F6-4F2192E5C0FE}"/>
    <dgm:cxn modelId="{5FE91367-DDE6-49FE-9A38-73BE880356EB}" type="presOf" srcId="{E67BDC5C-D1B5-4F92-9DD8-19843BF8C461}" destId="{91881CA5-955A-4CED-A4FD-F64587B49044}" srcOrd="0" destOrd="3" presId="urn:microsoft.com/office/officeart/2005/8/layout/cycle4"/>
    <dgm:cxn modelId="{CAB16A69-01F1-4684-AD3F-DD7D659528F0}" srcId="{1759E742-2E1D-4CFC-A16D-8E2B549D6203}" destId="{76D28368-ADDB-4B7B-B500-2FC89F21F1A8}" srcOrd="1" destOrd="0" parTransId="{8A2097AA-21D1-4744-B56B-F03B6FD44174}" sibTransId="{0AA98927-19B5-470E-8AAD-F49490E5AAAC}"/>
    <dgm:cxn modelId="{F5863C6B-A488-40C8-8C73-248F71A68FFB}" srcId="{28021C34-CB9A-4793-AE78-9D33A0D998F3}" destId="{6EDC6329-D2AB-4013-8940-7D9630D44ECE}" srcOrd="2" destOrd="0" parTransId="{B036CEC2-6B35-4722-87B1-8554537E9FCC}" sibTransId="{CF3D1BB3-7A7C-4812-BEFD-2EDFABA990ED}"/>
    <dgm:cxn modelId="{2541EE6B-B4E9-4516-AF01-E9E197AF94D9}" type="presOf" srcId="{AE1700D6-9E0C-4CA2-AC71-9D81E8D3BBFB}" destId="{91881CA5-955A-4CED-A4FD-F64587B49044}" srcOrd="0" destOrd="0" presId="urn:microsoft.com/office/officeart/2005/8/layout/cycle4"/>
    <dgm:cxn modelId="{9674996C-E895-4218-92D9-A90A0444A3DE}" type="presOf" srcId="{320410C7-B72A-4FB4-B92D-F95F7902BD54}" destId="{555B9272-BDCD-4B2E-AC5C-0B0BF4DFAB69}" srcOrd="0" destOrd="2" presId="urn:microsoft.com/office/officeart/2005/8/layout/cycle4"/>
    <dgm:cxn modelId="{4E55D56D-DCAE-4392-B2E7-17268FDAC088}" type="presOf" srcId="{240910E3-4809-4EF4-892C-B37D858FE599}" destId="{91881CA5-955A-4CED-A4FD-F64587B49044}" srcOrd="0" destOrd="2" presId="urn:microsoft.com/office/officeart/2005/8/layout/cycle4"/>
    <dgm:cxn modelId="{562BED6F-F0F7-483B-9A78-B73B7C0A9ABC}" type="presOf" srcId="{060F0D0A-F249-45D1-9A52-B5514FF259D6}" destId="{A486A46A-4A99-4C63-A22E-883BC5AC03AD}" srcOrd="0" destOrd="0" presId="urn:microsoft.com/office/officeart/2005/8/layout/cycle4"/>
    <dgm:cxn modelId="{85235971-C3AE-454E-91BB-030F2DB90872}" srcId="{28021C34-CB9A-4793-AE78-9D33A0D998F3}" destId="{A2B745FC-9F92-411F-B292-C7B71C4AFC1F}" srcOrd="0" destOrd="0" parTransId="{5B81CCC8-099D-4D5E-87F5-9C4991B393FB}" sibTransId="{89AD89C9-EE27-43EE-8466-CA0FF99D6D2E}"/>
    <dgm:cxn modelId="{2F07527F-75C9-4E14-BEB1-F0858062A190}" srcId="{6EDC6329-D2AB-4013-8940-7D9630D44ECE}" destId="{060F0D0A-F249-45D1-9A52-B5514FF259D6}" srcOrd="0" destOrd="0" parTransId="{A1722A82-3BCC-40AF-86D3-D69F34D8598B}" sibTransId="{D087E460-BDE4-4213-A329-7409DA616679}"/>
    <dgm:cxn modelId="{13E6A17F-BB08-4F28-AEF5-B054B6B8635B}" type="presOf" srcId="{F1A6CE63-5D48-435D-9EA0-6AAA15462730}" destId="{8B8F5DE9-08A3-4B57-9225-022BEBCBE937}" srcOrd="1" destOrd="4" presId="urn:microsoft.com/office/officeart/2005/8/layout/cycle4"/>
    <dgm:cxn modelId="{E70B0689-8578-49D3-9C70-207D1FDA994E}" srcId="{A2B745FC-9F92-411F-B292-C7B71C4AFC1F}" destId="{AE1700D6-9E0C-4CA2-AC71-9D81E8D3BBFB}" srcOrd="0" destOrd="0" parTransId="{3E86175D-FB9D-40FC-AD9F-C1E6B29CD1A8}" sibTransId="{E9D3D03F-AE3F-4E4A-B579-03A090CA039D}"/>
    <dgm:cxn modelId="{81C0608B-DF76-488D-AC1A-EF2C07AD07B4}" type="presOf" srcId="{8823F905-F988-4C6D-848C-16E54ABAA18D}" destId="{91881CA5-955A-4CED-A4FD-F64587B49044}" srcOrd="0" destOrd="5" presId="urn:microsoft.com/office/officeart/2005/8/layout/cycle4"/>
    <dgm:cxn modelId="{6388008E-4B6A-48C1-ADE8-18BA056AFB79}" srcId="{1759E742-2E1D-4CFC-A16D-8E2B549D6203}" destId="{A9A8406B-E6BF-4BC8-B5DE-D535D1CEE041}" srcOrd="0" destOrd="0" parTransId="{09DDCFB3-ACDF-487A-9837-7280780E5F30}" sibTransId="{6D5B2E1E-0F61-476E-AD54-A036DAC28AB8}"/>
    <dgm:cxn modelId="{B4162495-14D3-45A0-B3FA-4EE73D658D0A}" type="presOf" srcId="{B7B8DB3A-C856-45D9-8DD9-C85B82CF213C}" destId="{A486A46A-4A99-4C63-A22E-883BC5AC03AD}" srcOrd="0" destOrd="1" presId="urn:microsoft.com/office/officeart/2005/8/layout/cycle4"/>
    <dgm:cxn modelId="{57079F9A-758C-4364-973E-F56484AA84C8}" type="presOf" srcId="{D6C2EB4F-3013-477C-830B-18B1FFAA7EBB}" destId="{CE7AEBCC-D40E-402A-B5E8-E2267F7193B0}" srcOrd="0" destOrd="0" presId="urn:microsoft.com/office/officeart/2005/8/layout/cycle4"/>
    <dgm:cxn modelId="{E8D6279F-B936-4066-80DE-6BE34A2C7EAA}" type="presOf" srcId="{F3EE6BE2-9A24-4EC8-A330-D41AB0812D24}" destId="{7F7C1685-92EE-4978-A2D4-0BDB494C03E5}" srcOrd="1" destOrd="0" presId="urn:microsoft.com/office/officeart/2005/8/layout/cycle4"/>
    <dgm:cxn modelId="{058069A0-63CF-4D3D-A83F-98C8963550F8}" type="presOf" srcId="{320410C7-B72A-4FB4-B92D-F95F7902BD54}" destId="{6602A98D-7C6A-4644-AFF0-0418ED2B1C75}" srcOrd="1" destOrd="2" presId="urn:microsoft.com/office/officeart/2005/8/layout/cycle4"/>
    <dgm:cxn modelId="{0A0594A6-159D-494E-BD40-5C1296EEE23D}" type="presOf" srcId="{A9A8406B-E6BF-4BC8-B5DE-D535D1CEE041}" destId="{6602A98D-7C6A-4644-AFF0-0418ED2B1C75}" srcOrd="1" destOrd="0" presId="urn:microsoft.com/office/officeart/2005/8/layout/cycle4"/>
    <dgm:cxn modelId="{09E98CAB-037B-4154-9800-4574978B1DC5}" srcId="{28021C34-CB9A-4793-AE78-9D33A0D998F3}" destId="{1759E742-2E1D-4CFC-A16D-8E2B549D6203}" srcOrd="3" destOrd="0" parTransId="{11A3769A-3BBA-41F4-B475-02E5953DFED3}" sibTransId="{9307537C-AA72-48BF-A9E3-DCA24EF5DB19}"/>
    <dgm:cxn modelId="{17D9BEAE-064A-436F-BBB4-2741C8116FB5}" type="presOf" srcId="{240910E3-4809-4EF4-892C-B37D858FE599}" destId="{AED04EBD-B74D-4626-B4BB-3BC4B6F19E7C}" srcOrd="1" destOrd="2" presId="urn:microsoft.com/office/officeart/2005/8/layout/cycle4"/>
    <dgm:cxn modelId="{164D9CAF-C3C1-454E-A8C8-ED63328BE8EC}" srcId="{6EDC6329-D2AB-4013-8940-7D9630D44ECE}" destId="{79E1465D-EA5D-42B6-B1B1-99134CCAD721}" srcOrd="5" destOrd="0" parTransId="{98B03848-A7AB-4CFA-A314-06D9B15EAF06}" sibTransId="{BD8174AD-E224-496F-B9CD-73FB1B19EE2D}"/>
    <dgm:cxn modelId="{EFB446B7-7644-4B12-BA05-5AF40F4649D5}" srcId="{6EDC6329-D2AB-4013-8940-7D9630D44ECE}" destId="{A069C6D8-2864-445C-9B41-47C435A75276}" srcOrd="2" destOrd="0" parTransId="{75DB82EC-4E49-446D-BE26-8949E6EF7B46}" sibTransId="{7807C0DE-F3D8-4F0B-BDDD-6BE9BC9EC57B}"/>
    <dgm:cxn modelId="{4E8C2EBB-2BAC-4F41-BA96-B767260F4B05}" type="presOf" srcId="{050D8034-0C87-4394-B1ED-A8072FC3E210}" destId="{A486A46A-4A99-4C63-A22E-883BC5AC03AD}" srcOrd="0" destOrd="3" presId="urn:microsoft.com/office/officeart/2005/8/layout/cycle4"/>
    <dgm:cxn modelId="{991FEABD-F188-4B4C-8496-FFDDB5A3A05B}" srcId="{D6C2EB4F-3013-477C-830B-18B1FFAA7EBB}" destId="{F3EE6BE2-9A24-4EC8-A330-D41AB0812D24}" srcOrd="0" destOrd="0" parTransId="{C785388C-D52B-4484-9199-489C9B8B8F40}" sibTransId="{BECDCD9C-C533-448D-86A9-2365757C17E8}"/>
    <dgm:cxn modelId="{729A94C0-E9AF-4E57-A644-9CE7804F153E}" srcId="{A2B745FC-9F92-411F-B292-C7B71C4AFC1F}" destId="{A5D29F01-55CE-4E63-96CA-680B65FD8863}" srcOrd="1" destOrd="0" parTransId="{9AB17F00-4601-478D-8326-8EF0D62E113A}" sibTransId="{0CC13FF0-95E7-4F00-8CAB-5AE37A71C241}"/>
    <dgm:cxn modelId="{BC0AB8C6-A947-46DD-B08A-8FDF46E8A1AF}" type="presOf" srcId="{E67BDC5C-D1B5-4F92-9DD8-19843BF8C461}" destId="{AED04EBD-B74D-4626-B4BB-3BC4B6F19E7C}" srcOrd="1" destOrd="3" presId="urn:microsoft.com/office/officeart/2005/8/layout/cycle4"/>
    <dgm:cxn modelId="{9B861BCB-ECCD-40C8-979F-480C5B87F51A}" type="presOf" srcId="{79E1465D-EA5D-42B6-B1B1-99134CCAD721}" destId="{A486A46A-4A99-4C63-A22E-883BC5AC03AD}" srcOrd="0" destOrd="5" presId="urn:microsoft.com/office/officeart/2005/8/layout/cycle4"/>
    <dgm:cxn modelId="{449283CD-9713-41EA-B158-1DCF38F248C8}" type="presOf" srcId="{1759E742-2E1D-4CFC-A16D-8E2B549D6203}" destId="{DC907D5A-C7A0-43CF-9555-DCCDF9502430}" srcOrd="0" destOrd="0" presId="urn:microsoft.com/office/officeart/2005/8/layout/cycle4"/>
    <dgm:cxn modelId="{E11F1BD1-B959-4D9B-B242-E200117F1474}" type="presOf" srcId="{A5D29F01-55CE-4E63-96CA-680B65FD8863}" destId="{AED04EBD-B74D-4626-B4BB-3BC4B6F19E7C}" srcOrd="1" destOrd="1" presId="urn:microsoft.com/office/officeart/2005/8/layout/cycle4"/>
    <dgm:cxn modelId="{42EB21D7-E0C1-402C-8538-F5FBF5403442}" type="presOf" srcId="{76D28368-ADDB-4B7B-B500-2FC89F21F1A8}" destId="{555B9272-BDCD-4B2E-AC5C-0B0BF4DFAB69}" srcOrd="0" destOrd="1" presId="urn:microsoft.com/office/officeart/2005/8/layout/cycle4"/>
    <dgm:cxn modelId="{134599E9-91F1-4EC6-A423-BC346EF90FB5}" srcId="{A2B745FC-9F92-411F-B292-C7B71C4AFC1F}" destId="{240910E3-4809-4EF4-892C-B37D858FE599}" srcOrd="2" destOrd="0" parTransId="{BC8D6918-73C8-4B70-A0FE-5ABF76E9EDFB}" sibTransId="{8A0C1F4A-46CE-4E8C-9F95-86DEB760DCDD}"/>
    <dgm:cxn modelId="{0CCDF3EB-5667-4504-9861-F218508717A0}" type="presOf" srcId="{F3EE6BE2-9A24-4EC8-A330-D41AB0812D24}" destId="{531C73E3-4123-49C4-A8B2-4D0D25951339}" srcOrd="0" destOrd="0" presId="urn:microsoft.com/office/officeart/2005/8/layout/cycle4"/>
    <dgm:cxn modelId="{FD0C47EF-350F-4812-B967-46F024D56D7B}" type="presOf" srcId="{050D8034-0C87-4394-B1ED-A8072FC3E210}" destId="{8B8F5DE9-08A3-4B57-9225-022BEBCBE937}" srcOrd="1" destOrd="3" presId="urn:microsoft.com/office/officeart/2005/8/layout/cycle4"/>
    <dgm:cxn modelId="{6B2C98F3-C49A-433F-B026-C21C81B349A3}" srcId="{A2B745FC-9F92-411F-B292-C7B71C4AFC1F}" destId="{8823F905-F988-4C6D-848C-16E54ABAA18D}" srcOrd="5" destOrd="0" parTransId="{3274A423-00D6-49BC-83EE-35378804DEFF}" sibTransId="{C6F966DD-E0F4-4186-93A1-0E2B7408D782}"/>
    <dgm:cxn modelId="{BC8DE6F6-3CF6-4ADB-A2FB-64194ECCFBA6}" srcId="{D6C2EB4F-3013-477C-830B-18B1FFAA7EBB}" destId="{F37B3A2F-515A-4473-9A95-9F825A583683}" srcOrd="1" destOrd="0" parTransId="{B1B60E57-6FFE-4111-82A1-31E2774F386F}" sibTransId="{672E9048-0BD3-475B-9EF6-93E52953536B}"/>
    <dgm:cxn modelId="{96474EFC-3535-4ED2-8B7D-ECD47A1B5702}" srcId="{28021C34-CB9A-4793-AE78-9D33A0D998F3}" destId="{D6C2EB4F-3013-477C-830B-18B1FFAA7EBB}" srcOrd="1" destOrd="0" parTransId="{C9ED002B-E066-4BF6-A9CE-9962DD71522D}" sibTransId="{89144D36-52F0-49C5-8A6E-91F51FD75587}"/>
    <dgm:cxn modelId="{9B9A41FE-B91F-4147-94B3-C857CA551041}" type="presOf" srcId="{76D28368-ADDB-4B7B-B500-2FC89F21F1A8}" destId="{6602A98D-7C6A-4644-AFF0-0418ED2B1C75}" srcOrd="1" destOrd="1" presId="urn:microsoft.com/office/officeart/2005/8/layout/cycle4"/>
    <dgm:cxn modelId="{370DB71C-00F5-43B1-BD41-AD66B9663C44}" type="presParOf" srcId="{B66C54C9-0B78-4CE0-9E22-1E67B020763A}" destId="{4188EA7D-A4BF-4DA1-982F-B3B681BD75A7}" srcOrd="0" destOrd="0" presId="urn:microsoft.com/office/officeart/2005/8/layout/cycle4"/>
    <dgm:cxn modelId="{2CF5C885-E7B8-4B6A-9A46-03EDA7E8BC70}" type="presParOf" srcId="{4188EA7D-A4BF-4DA1-982F-B3B681BD75A7}" destId="{5A3844CA-3A0B-4DE6-A4A7-2420F18C668A}" srcOrd="0" destOrd="0" presId="urn:microsoft.com/office/officeart/2005/8/layout/cycle4"/>
    <dgm:cxn modelId="{01DE76F5-0452-4F34-A024-1622D432418D}" type="presParOf" srcId="{5A3844CA-3A0B-4DE6-A4A7-2420F18C668A}" destId="{91881CA5-955A-4CED-A4FD-F64587B49044}" srcOrd="0" destOrd="0" presId="urn:microsoft.com/office/officeart/2005/8/layout/cycle4"/>
    <dgm:cxn modelId="{A91AA813-A003-4866-B201-B153D2E22F9D}" type="presParOf" srcId="{5A3844CA-3A0B-4DE6-A4A7-2420F18C668A}" destId="{AED04EBD-B74D-4626-B4BB-3BC4B6F19E7C}" srcOrd="1" destOrd="0" presId="urn:microsoft.com/office/officeart/2005/8/layout/cycle4"/>
    <dgm:cxn modelId="{7FD4461A-10CA-4B9F-81F4-2A7626159EFA}" type="presParOf" srcId="{4188EA7D-A4BF-4DA1-982F-B3B681BD75A7}" destId="{24A867EC-2D06-4420-8A16-D0250DBE9F30}" srcOrd="1" destOrd="0" presId="urn:microsoft.com/office/officeart/2005/8/layout/cycle4"/>
    <dgm:cxn modelId="{B40CEB09-59A9-44A1-8E81-23F1658C6015}" type="presParOf" srcId="{24A867EC-2D06-4420-8A16-D0250DBE9F30}" destId="{531C73E3-4123-49C4-A8B2-4D0D25951339}" srcOrd="0" destOrd="0" presId="urn:microsoft.com/office/officeart/2005/8/layout/cycle4"/>
    <dgm:cxn modelId="{D0CFFA42-65EF-4B1E-98CB-DCF4982AF903}" type="presParOf" srcId="{24A867EC-2D06-4420-8A16-D0250DBE9F30}" destId="{7F7C1685-92EE-4978-A2D4-0BDB494C03E5}" srcOrd="1" destOrd="0" presId="urn:microsoft.com/office/officeart/2005/8/layout/cycle4"/>
    <dgm:cxn modelId="{D5236692-F6DA-4783-8DCA-670B57D3191B}" type="presParOf" srcId="{4188EA7D-A4BF-4DA1-982F-B3B681BD75A7}" destId="{BA5360CE-5B24-4DCB-99CD-B684CF29EFEE}" srcOrd="2" destOrd="0" presId="urn:microsoft.com/office/officeart/2005/8/layout/cycle4"/>
    <dgm:cxn modelId="{09FF7628-1CEF-486C-8D97-201E9A4143F8}" type="presParOf" srcId="{BA5360CE-5B24-4DCB-99CD-B684CF29EFEE}" destId="{A486A46A-4A99-4C63-A22E-883BC5AC03AD}" srcOrd="0" destOrd="0" presId="urn:microsoft.com/office/officeart/2005/8/layout/cycle4"/>
    <dgm:cxn modelId="{7CA8C817-BD63-4BD5-98BA-131F33B4ADBE}" type="presParOf" srcId="{BA5360CE-5B24-4DCB-99CD-B684CF29EFEE}" destId="{8B8F5DE9-08A3-4B57-9225-022BEBCBE937}" srcOrd="1" destOrd="0" presId="urn:microsoft.com/office/officeart/2005/8/layout/cycle4"/>
    <dgm:cxn modelId="{69986EF6-26BF-420B-8E43-08AF8341667D}" type="presParOf" srcId="{4188EA7D-A4BF-4DA1-982F-B3B681BD75A7}" destId="{F8A2384F-3560-4EA6-A4F1-C99C5E688086}" srcOrd="3" destOrd="0" presId="urn:microsoft.com/office/officeart/2005/8/layout/cycle4"/>
    <dgm:cxn modelId="{EDCFB675-02C6-44B5-86DC-D0C185007558}" type="presParOf" srcId="{F8A2384F-3560-4EA6-A4F1-C99C5E688086}" destId="{555B9272-BDCD-4B2E-AC5C-0B0BF4DFAB69}" srcOrd="0" destOrd="0" presId="urn:microsoft.com/office/officeart/2005/8/layout/cycle4"/>
    <dgm:cxn modelId="{D6FCEC10-7ECA-42A4-95E3-122140105A33}" type="presParOf" srcId="{F8A2384F-3560-4EA6-A4F1-C99C5E688086}" destId="{6602A98D-7C6A-4644-AFF0-0418ED2B1C75}" srcOrd="1" destOrd="0" presId="urn:microsoft.com/office/officeart/2005/8/layout/cycle4"/>
    <dgm:cxn modelId="{DA59E132-7124-4F9D-880E-603EEAEFD9EC}" type="presParOf" srcId="{4188EA7D-A4BF-4DA1-982F-B3B681BD75A7}" destId="{A2E68CA9-1792-40CD-B957-665B79F14653}" srcOrd="4" destOrd="0" presId="urn:microsoft.com/office/officeart/2005/8/layout/cycle4"/>
    <dgm:cxn modelId="{37B77FB9-F640-4260-AA44-646788A853D0}" type="presParOf" srcId="{B66C54C9-0B78-4CE0-9E22-1E67B020763A}" destId="{AF23643A-AC8F-42AD-8355-83F7BB7C2B11}" srcOrd="1" destOrd="0" presId="urn:microsoft.com/office/officeart/2005/8/layout/cycle4"/>
    <dgm:cxn modelId="{7C7D77A3-7467-466E-82EC-7908A5475F13}" type="presParOf" srcId="{AF23643A-AC8F-42AD-8355-83F7BB7C2B11}" destId="{6A3C8D03-5691-4D05-B57F-B52CA8AA8E95}" srcOrd="0" destOrd="0" presId="urn:microsoft.com/office/officeart/2005/8/layout/cycle4"/>
    <dgm:cxn modelId="{707D9297-A8BF-4D4B-87A4-B27177F1BC8A}" type="presParOf" srcId="{AF23643A-AC8F-42AD-8355-83F7BB7C2B11}" destId="{CE7AEBCC-D40E-402A-B5E8-E2267F7193B0}" srcOrd="1" destOrd="0" presId="urn:microsoft.com/office/officeart/2005/8/layout/cycle4"/>
    <dgm:cxn modelId="{B6DA9033-C9E9-4838-A513-513D17171899}" type="presParOf" srcId="{AF23643A-AC8F-42AD-8355-83F7BB7C2B11}" destId="{BE5E79E1-1909-441C-9398-1E6A4C185E7A}" srcOrd="2" destOrd="0" presId="urn:microsoft.com/office/officeart/2005/8/layout/cycle4"/>
    <dgm:cxn modelId="{CB2ADB2F-3FBF-4911-8700-BCC459024EF4}" type="presParOf" srcId="{AF23643A-AC8F-42AD-8355-83F7BB7C2B11}" destId="{DC907D5A-C7A0-43CF-9555-DCCDF9502430}" srcOrd="3" destOrd="0" presId="urn:microsoft.com/office/officeart/2005/8/layout/cycle4"/>
    <dgm:cxn modelId="{60975B06-E281-479D-806E-01E0526C1924}" type="presParOf" srcId="{AF23643A-AC8F-42AD-8355-83F7BB7C2B11}" destId="{71ECAB01-4048-442A-85B7-DEC85FAA6CA8}" srcOrd="4" destOrd="0" presId="urn:microsoft.com/office/officeart/2005/8/layout/cycle4"/>
    <dgm:cxn modelId="{7557463D-7932-43C5-8909-061C77C1CD15}" type="presParOf" srcId="{B66C54C9-0B78-4CE0-9E22-1E67B020763A}" destId="{71CE5687-2368-4B08-811B-426DCA289B61}" srcOrd="2" destOrd="0" presId="urn:microsoft.com/office/officeart/2005/8/layout/cycle4"/>
    <dgm:cxn modelId="{5E1AB5CF-F3D5-414E-9915-B69C5F1A6768}" type="presParOf" srcId="{B66C54C9-0B78-4CE0-9E22-1E67B020763A}" destId="{BBBF74CE-B9FF-4A06-8F4F-E3866EB78C19}" srcOrd="3" destOrd="0" presId="urn:microsoft.com/office/officeart/2005/8/layout/cycle4"/>
  </dgm:cxnLst>
  <dgm:bg/>
  <dgm:whole/>
  <dgm:extLst>
    <a:ext uri="http://schemas.microsoft.com/office/drawing/2008/diagram">
      <dsp:dataModelExt xmlns:dsp="http://schemas.microsoft.com/office/drawing/2008/diagram" relId="rId19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A486A46A-4A99-4C63-A22E-883BC5AC03AD}">
      <dsp:nvSpPr>
        <dsp:cNvPr id="0" name=""/>
        <dsp:cNvSpPr/>
      </dsp:nvSpPr>
      <dsp:spPr>
        <a:xfrm>
          <a:off x="6298776" y="3272403"/>
          <a:ext cx="2432666" cy="1575816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8100" tIns="38100" rIns="38100" bIns="38100" numCol="1" spcCol="1270" anchor="t" anchorCtr="0">
          <a:noAutofit/>
        </a:bodyPr>
        <a:lstStyle/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00" b="1" kern="1200"/>
            <a:t> Grow share of electronics in autos</a:t>
          </a:r>
        </a:p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00" b="1" kern="1200"/>
            <a:t>High margin end markets: medical, aerospace, defense </a:t>
          </a:r>
        </a:p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00" b="1" kern="1200"/>
            <a:t>Increase automation to reduce labor expense and increase output and quality</a:t>
          </a:r>
        </a:p>
        <a:p>
          <a:pPr marL="57150" lvl="1" indent="-57150" algn="l" defTabSz="2667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endParaRPr lang="en-US" sz="600" kern="1200"/>
        </a:p>
        <a:p>
          <a:pPr marL="57150" lvl="1" indent="-57150" algn="l" defTabSz="2667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endParaRPr lang="en-US" sz="600" kern="1200"/>
        </a:p>
        <a:p>
          <a:pPr marL="57150" lvl="1" indent="-57150" algn="l" defTabSz="2667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endParaRPr lang="en-US" sz="600" kern="1200"/>
        </a:p>
      </dsp:txBody>
      <dsp:txXfrm>
        <a:off x="7063192" y="3700973"/>
        <a:ext cx="1633634" cy="1112630"/>
      </dsp:txXfrm>
    </dsp:sp>
    <dsp:sp modelId="{555B9272-BDCD-4B2E-AC5C-0B0BF4DFAB69}">
      <dsp:nvSpPr>
        <dsp:cNvPr id="0" name=""/>
        <dsp:cNvSpPr/>
      </dsp:nvSpPr>
      <dsp:spPr>
        <a:xfrm>
          <a:off x="2134711" y="3348609"/>
          <a:ext cx="2432666" cy="1575816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8100" tIns="38100" rIns="38100" bIns="38100" numCol="1" spcCol="1270" anchor="t" anchorCtr="0">
          <a:noAutofit/>
        </a:bodyPr>
        <a:lstStyle/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00" b="1" kern="1200"/>
            <a:t>Competition  from other EMS &amp; ODM firms</a:t>
          </a:r>
        </a:p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00" b="1" kern="1200"/>
            <a:t>Rival consolidation and/or copycat behavior</a:t>
          </a:r>
        </a:p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00" b="1" kern="1200"/>
            <a:t>Overcapacity in manufacturing, driving down margins</a:t>
          </a:r>
        </a:p>
      </dsp:txBody>
      <dsp:txXfrm>
        <a:off x="2169327" y="3777179"/>
        <a:ext cx="1633634" cy="1112630"/>
      </dsp:txXfrm>
    </dsp:sp>
    <dsp:sp modelId="{531C73E3-4123-49C4-A8B2-4D0D25951339}">
      <dsp:nvSpPr>
        <dsp:cNvPr id="0" name=""/>
        <dsp:cNvSpPr/>
      </dsp:nvSpPr>
      <dsp:spPr>
        <a:xfrm>
          <a:off x="6103798" y="0"/>
          <a:ext cx="2432666" cy="1575816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marL="57150" lvl="1" indent="-57150" algn="l" defTabSz="4000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900" b="1" kern="1200"/>
            <a:t>Dependent on single suppliers for certain components</a:t>
          </a:r>
        </a:p>
        <a:p>
          <a:pPr marL="57150" lvl="1" indent="-57150" algn="l" defTabSz="4000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900" b="1" kern="1200"/>
            <a:t>High customer bargaining power in high volume, low complexity products</a:t>
          </a:r>
        </a:p>
      </dsp:txBody>
      <dsp:txXfrm>
        <a:off x="6868214" y="34616"/>
        <a:ext cx="1633634" cy="1112630"/>
      </dsp:txXfrm>
    </dsp:sp>
    <dsp:sp modelId="{91881CA5-955A-4CED-A4FD-F64587B49044}">
      <dsp:nvSpPr>
        <dsp:cNvPr id="0" name=""/>
        <dsp:cNvSpPr/>
      </dsp:nvSpPr>
      <dsp:spPr>
        <a:xfrm>
          <a:off x="2134711" y="0"/>
          <a:ext cx="2432666" cy="1575816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8100" tIns="38100" rIns="38100" bIns="38100" numCol="1" spcCol="1270" anchor="t" anchorCtr="0">
          <a:noAutofit/>
        </a:bodyPr>
        <a:lstStyle/>
        <a:p>
          <a:pPr marL="57150" lvl="1" indent="-57150" algn="l" defTabSz="44450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00" b="1" kern="1200"/>
            <a:t>Dominant market share</a:t>
          </a:r>
        </a:p>
        <a:p>
          <a:pPr marL="57150" lvl="1" indent="-57150" algn="l" defTabSz="44450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00" b="1" kern="1200"/>
            <a:t>Vertically integrated</a:t>
          </a:r>
        </a:p>
        <a:p>
          <a:pPr marL="57150" lvl="1" indent="-57150" algn="l" defTabSz="44450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00" b="1" kern="1200"/>
            <a:t>Global footprint</a:t>
          </a:r>
        </a:p>
        <a:p>
          <a:pPr marL="57150" lvl="1" indent="-57150" algn="l" defTabSz="44450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00" b="1" kern="1200"/>
            <a:t>Sketch to Scale</a:t>
          </a:r>
        </a:p>
        <a:p>
          <a:pPr marL="57150" lvl="1" indent="-57150" algn="l" defTabSz="44450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00" b="1" kern="1200"/>
            <a:t>Diversified end markets</a:t>
          </a:r>
        </a:p>
        <a:p>
          <a:pPr marL="57150" lvl="1" indent="-57150" algn="l" defTabSz="44450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00" b="1" kern="1200"/>
            <a:t>Adventageous pricing power</a:t>
          </a:r>
        </a:p>
      </dsp:txBody>
      <dsp:txXfrm>
        <a:off x="2169327" y="34616"/>
        <a:ext cx="1633634" cy="1112630"/>
      </dsp:txXfrm>
    </dsp:sp>
    <dsp:sp modelId="{6A3C8D03-5691-4D05-B57F-B52CA8AA8E95}">
      <dsp:nvSpPr>
        <dsp:cNvPr id="0" name=""/>
        <dsp:cNvSpPr/>
      </dsp:nvSpPr>
      <dsp:spPr>
        <a:xfrm>
          <a:off x="3154067" y="280692"/>
          <a:ext cx="2132276" cy="2132276"/>
        </a:xfrm>
        <a:prstGeom prst="pieWedg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48488" tIns="348488" rIns="348488" bIns="348488" numCol="1" spcCol="1270" anchor="ctr" anchorCtr="0">
          <a:noAutofit/>
        </a:bodyPr>
        <a:lstStyle/>
        <a:p>
          <a:pPr marL="0" lvl="0" indent="0" algn="ctr" defTabSz="2178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4900" kern="1200"/>
            <a:t>S</a:t>
          </a:r>
        </a:p>
      </dsp:txBody>
      <dsp:txXfrm>
        <a:off x="3778596" y="905221"/>
        <a:ext cx="1507747" cy="1507747"/>
      </dsp:txXfrm>
    </dsp:sp>
    <dsp:sp modelId="{CE7AEBCC-D40E-402A-B5E8-E2267F7193B0}">
      <dsp:nvSpPr>
        <dsp:cNvPr id="0" name=""/>
        <dsp:cNvSpPr/>
      </dsp:nvSpPr>
      <dsp:spPr>
        <a:xfrm rot="5400000">
          <a:off x="5384832" y="280692"/>
          <a:ext cx="2132276" cy="2132276"/>
        </a:xfrm>
        <a:prstGeom prst="pieWedg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48488" tIns="348488" rIns="348488" bIns="348488" numCol="1" spcCol="1270" anchor="ctr" anchorCtr="0">
          <a:noAutofit/>
        </a:bodyPr>
        <a:lstStyle/>
        <a:p>
          <a:pPr marL="0" lvl="0" indent="0" algn="ctr" defTabSz="2178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4900" kern="1200"/>
            <a:t>W</a:t>
          </a:r>
        </a:p>
      </dsp:txBody>
      <dsp:txXfrm rot="-5400000">
        <a:off x="5384832" y="905221"/>
        <a:ext cx="1507747" cy="1507747"/>
      </dsp:txXfrm>
    </dsp:sp>
    <dsp:sp modelId="{BE5E79E1-1909-441C-9398-1E6A4C185E7A}">
      <dsp:nvSpPr>
        <dsp:cNvPr id="0" name=""/>
        <dsp:cNvSpPr/>
      </dsp:nvSpPr>
      <dsp:spPr>
        <a:xfrm rot="10800000">
          <a:off x="5384832" y="2511457"/>
          <a:ext cx="2132276" cy="2132276"/>
        </a:xfrm>
        <a:prstGeom prst="pieWedg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55600" tIns="355600" rIns="355600" bIns="355600" numCol="1" spcCol="1270" anchor="ctr" anchorCtr="0">
          <a:noAutofit/>
        </a:bodyPr>
        <a:lstStyle/>
        <a:p>
          <a:pPr marL="0" lvl="0" indent="0" algn="ctr" defTabSz="2222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000" kern="1200"/>
            <a:t>O</a:t>
          </a:r>
        </a:p>
      </dsp:txBody>
      <dsp:txXfrm rot="10800000">
        <a:off x="5384832" y="2511457"/>
        <a:ext cx="1507747" cy="1507747"/>
      </dsp:txXfrm>
    </dsp:sp>
    <dsp:sp modelId="{DC907D5A-C7A0-43CF-9555-DCCDF9502430}">
      <dsp:nvSpPr>
        <dsp:cNvPr id="0" name=""/>
        <dsp:cNvSpPr/>
      </dsp:nvSpPr>
      <dsp:spPr>
        <a:xfrm rot="16200000">
          <a:off x="3154067" y="2511457"/>
          <a:ext cx="2132276" cy="2132276"/>
        </a:xfrm>
        <a:prstGeom prst="pieWedg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55600" tIns="355600" rIns="355600" bIns="355600" numCol="1" spcCol="1270" anchor="ctr" anchorCtr="0">
          <a:noAutofit/>
        </a:bodyPr>
        <a:lstStyle/>
        <a:p>
          <a:pPr marL="0" lvl="0" indent="0" algn="ctr" defTabSz="2222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000" kern="1200"/>
            <a:t>T</a:t>
          </a:r>
        </a:p>
      </dsp:txBody>
      <dsp:txXfrm rot="5400000">
        <a:off x="3778596" y="2511457"/>
        <a:ext cx="1507747" cy="1507747"/>
      </dsp:txXfrm>
    </dsp:sp>
    <dsp:sp modelId="{71CE5687-2368-4B08-811B-426DCA289B61}">
      <dsp:nvSpPr>
        <dsp:cNvPr id="0" name=""/>
        <dsp:cNvSpPr/>
      </dsp:nvSpPr>
      <dsp:spPr>
        <a:xfrm>
          <a:off x="4967487" y="2019014"/>
          <a:ext cx="736201" cy="640175"/>
        </a:xfrm>
        <a:prstGeom prst="circularArrow">
          <a:avLst/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BBBF74CE-B9FF-4A06-8F4F-E3866EB78C19}">
      <dsp:nvSpPr>
        <dsp:cNvPr id="0" name=""/>
        <dsp:cNvSpPr/>
      </dsp:nvSpPr>
      <dsp:spPr>
        <a:xfrm rot="10800000">
          <a:off x="4967487" y="2265235"/>
          <a:ext cx="736201" cy="640175"/>
        </a:xfrm>
        <a:prstGeom prst="circularArrow">
          <a:avLst/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cycle4">
  <dgm:title val=""/>
  <dgm:desc val=""/>
  <dgm:catLst>
    <dgm:cat type="relationship" pri="26000"/>
    <dgm:cat type="cycle" pri="13000"/>
    <dgm:cat type="matrix" pri="4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  <dgm:pt modelId="3">
          <dgm:prSet phldr="1"/>
        </dgm:pt>
        <dgm:pt modelId="31">
          <dgm:prSet phldr="1"/>
        </dgm:pt>
        <dgm:pt modelId="4">
          <dgm:prSet phldr="1"/>
        </dgm:pt>
        <dgm:pt modelId="41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cycleMatrixDiagram">
    <dgm:varLst>
      <dgm:chMax val="1"/>
      <dgm:dir/>
      <dgm:animLvl val="lvl"/>
      <dgm:resizeHandles val="exact"/>
    </dgm:varLst>
    <dgm:alg type="composite">
      <dgm:param type="ar" val="1.3"/>
    </dgm:alg>
    <dgm:shape xmlns:r="http://schemas.openxmlformats.org/officeDocument/2006/relationships" r:blip="">
      <dgm:adjLst/>
    </dgm:shape>
    <dgm:presOf/>
    <dgm:constrLst>
      <dgm:constr type="w" for="ch" forName="children" refType="w"/>
      <dgm:constr type="h" for="ch" forName="children" refType="w" refFor="ch" refForName="children" fact="0.77"/>
      <dgm:constr type="ctrX" for="ch" forName="children" refType="w" fact="0.5"/>
      <dgm:constr type="ctrY" for="ch" forName="children" refType="h" fact="0.5"/>
      <dgm:constr type="w" for="ch" forName="circle" refType="w"/>
      <dgm:constr type="h" for="ch" forName="circle" refType="h"/>
      <dgm:constr type="ctrX" for="ch" forName="circle" refType="w" fact="0.5"/>
      <dgm:constr type="ctrY" for="ch" forName="circle" refType="h" fact="0.5"/>
      <dgm:constr type="w" for="ch" forName="center1" refType="w" fact="0.115"/>
      <dgm:constr type="h" for="ch" forName="center1" refType="w" fact="0.1"/>
      <dgm:constr type="ctrX" for="ch" forName="center1" refType="w" fact="0.5"/>
      <dgm:constr type="ctrY" for="ch" forName="center1" refType="h" fact="0.475"/>
      <dgm:constr type="w" for="ch" forName="center2" refType="w" fact="0.115"/>
      <dgm:constr type="h" for="ch" forName="center2" refType="w" fact="0.1"/>
      <dgm:constr type="ctrX" for="ch" forName="center2" refType="w" fact="0.5"/>
      <dgm:constr type="ctrY" for="ch" forName="center2" refType="h" fact="0.525"/>
    </dgm:constrLst>
    <dgm:ruleLst/>
    <dgm:choose name="Name0">
      <dgm:if name="Name1" axis="ch" ptType="node" func="cnt" op="gte" val="1">
        <dgm:layoutNode name="children">
          <dgm:alg type="composite">
            <dgm:param type="ar" val="1.3"/>
          </dgm:alg>
          <dgm:shape xmlns:r="http://schemas.openxmlformats.org/officeDocument/2006/relationships" r:blip="">
            <dgm:adjLst/>
          </dgm:shape>
          <dgm:presOf/>
          <dgm:choose name="Name2">
            <dgm:if name="Name3" func="var" arg="dir" op="equ" val="norm">
              <dgm:constrLst>
                <dgm:constr type="primFontSz" for="des" ptType="node" op="equ" val="65"/>
                <dgm:constr type="w" for="ch" forName="child1group" refType="w" fact="0.38"/>
                <dgm:constr type="h" for="ch" forName="child1group" refType="h" fact="0.32"/>
                <dgm:constr type="t" for="ch" forName="child1group"/>
                <dgm:constr type="l" for="ch" forName="child1group"/>
                <dgm:constr type="w" for="ch" forName="child2group" refType="w" fact="0.38"/>
                <dgm:constr type="h" for="ch" forName="child2group" refType="h" fact="0.32"/>
                <dgm:constr type="t" for="ch" forName="child2group"/>
                <dgm:constr type="r" for="ch" forName="child2group" refType="w"/>
                <dgm:constr type="w" for="ch" forName="child3group" refType="w" fact="0.38"/>
                <dgm:constr type="h" for="ch" forName="child3group" refType="h" fact="0.32"/>
                <dgm:constr type="b" for="ch" forName="child3group" refType="h"/>
                <dgm:constr type="r" for="ch" forName="child3group" refType="w"/>
                <dgm:constr type="w" for="ch" forName="child4group" refType="w" fact="0.38"/>
                <dgm:constr type="h" for="ch" forName="child4group" refType="h" fact="0.32"/>
                <dgm:constr type="b" for="ch" forName="child4group" refType="h"/>
                <dgm:constr type="l" for="ch" forName="child4group"/>
              </dgm:constrLst>
            </dgm:if>
            <dgm:else name="Name4">
              <dgm:constrLst>
                <dgm:constr type="primFontSz" for="des" ptType="node" op="equ" val="65"/>
                <dgm:constr type="w" for="ch" forName="child1group" refType="w" fact="0.38"/>
                <dgm:constr type="h" for="ch" forName="child1group" refType="h" fact="0.32"/>
                <dgm:constr type="t" for="ch" forName="child1group"/>
                <dgm:constr type="r" for="ch" forName="child1group" refType="w"/>
                <dgm:constr type="w" for="ch" forName="child2group" refType="w" fact="0.38"/>
                <dgm:constr type="h" for="ch" forName="child2group" refType="h" fact="0.32"/>
                <dgm:constr type="t" for="ch" forName="child2group"/>
                <dgm:constr type="l" for="ch" forName="child2group"/>
                <dgm:constr type="w" for="ch" forName="child3group" refType="w" fact="0.38"/>
                <dgm:constr type="h" for="ch" forName="child3group" refType="h" fact="0.32"/>
                <dgm:constr type="b" for="ch" forName="child3group" refType="h"/>
                <dgm:constr type="l" for="ch" forName="child3group"/>
                <dgm:constr type="w" for="ch" forName="child4group" refType="w" fact="0.38"/>
                <dgm:constr type="h" for="ch" forName="child4group" refType="h" fact="0.32"/>
                <dgm:constr type="b" for="ch" forName="child4group" refType="h"/>
                <dgm:constr type="r" for="ch" forName="child4group" refType="w"/>
              </dgm:constrLst>
            </dgm:else>
          </dgm:choose>
          <dgm:ruleLst/>
          <dgm:choose name="Name5">
            <dgm:if name="Name6" axis="ch ch" ptType="node node" st="1 1" cnt="1 0" func="cnt" op="gte" val="1">
              <dgm:layoutNode name="child1group">
                <dgm:alg type="composite">
                  <dgm:param type="horzAlign" val="none"/>
                  <dgm:param type="vertAlign" val="none"/>
                </dgm:alg>
                <dgm:shape xmlns:r="http://schemas.openxmlformats.org/officeDocument/2006/relationships" r:blip="">
                  <dgm:adjLst/>
                </dgm:shape>
                <dgm:presOf/>
                <dgm:choose name="Name7">
                  <dgm:if name="Name8" func="var" arg="dir" op="equ" val="norm">
                    <dgm:constrLst>
                      <dgm:constr type="w" for="ch" forName="child1" refType="w"/>
                      <dgm:constr type="h" for="ch" forName="child1" refType="h"/>
                      <dgm:constr type="t" for="ch" forName="child1"/>
                      <dgm:constr type="l" for="ch" forName="child1"/>
                      <dgm:constr type="w" for="ch" forName="child1Text" refType="w" fact="0.7"/>
                      <dgm:constr type="h" for="ch" forName="child1Text" refType="h" fact="0.75"/>
                      <dgm:constr type="t" for="ch" forName="child1Text"/>
                      <dgm:constr type="l" for="ch" forName="child1Text"/>
                    </dgm:constrLst>
                  </dgm:if>
                  <dgm:else name="Name9">
                    <dgm:constrLst>
                      <dgm:constr type="w" for="ch" forName="child1" refType="w"/>
                      <dgm:constr type="h" for="ch" forName="child1" refType="h"/>
                      <dgm:constr type="t" for="ch" forName="child1"/>
                      <dgm:constr type="r" for="ch" forName="child1" refType="w"/>
                      <dgm:constr type="w" for="ch" forName="child1Text" refType="w" fact="0.7"/>
                      <dgm:constr type="h" for="ch" forName="child1Text" refType="h" fact="0.75"/>
                      <dgm:constr type="t" for="ch" forName="child1Text"/>
                      <dgm:constr type="r" for="ch" forName="child1Text" refType="w"/>
                    </dgm:constrLst>
                  </dgm:else>
                </dgm:choose>
                <dgm:ruleLst/>
                <dgm:layoutNode name="child1" styleLbl="bgAcc1">
                  <dgm:alg type="sp"/>
                  <dgm:shape xmlns:r="http://schemas.openxmlformats.org/officeDocument/2006/relationships" type="roundRect" r:blip="" zOrderOff="-2">
                    <dgm:adjLst>
                      <dgm:adj idx="1" val="0.1"/>
                    </dgm:adjLst>
                  </dgm:shape>
                  <dgm:presOf axis="ch des" ptType="node node" st="1 1" cnt="1 0"/>
                  <dgm:constrLst/>
                  <dgm:ruleLst/>
                </dgm:layoutNode>
                <dgm:layoutNode name="child1Text" styleLbl="bgAcc1">
                  <dgm:varLst>
                    <dgm:bulletEnabled val="1"/>
                  </dgm:varLst>
                  <dgm:alg type="tx">
                    <dgm:param type="stBulletLvl" val="1"/>
                  </dgm:alg>
                  <dgm:shape xmlns:r="http://schemas.openxmlformats.org/officeDocument/2006/relationships" type="roundRect" r:blip="" zOrderOff="-2" hideGeom="1">
                    <dgm:adjLst>
                      <dgm:adj idx="1" val="0.1"/>
                    </dgm:adjLst>
                  </dgm:shape>
                  <dgm:presOf axis="ch des" ptType="node node" st="1 1" cnt="1 0"/>
                  <dgm:constrLst>
                    <dgm:constr type="tMarg" refType="primFontSz" fact="0.3"/>
                    <dgm:constr type="bMarg" refType="primFontSz" fact="0.3"/>
                    <dgm:constr type="lMarg" refType="primFontSz" fact="0.3"/>
                    <dgm:constr type="rMarg" refType="primFontSz" fact="0.3"/>
                  </dgm:constrLst>
                  <dgm:ruleLst>
                    <dgm:rule type="primFontSz" val="5" fact="NaN" max="NaN"/>
                  </dgm:ruleLst>
                </dgm:layoutNode>
              </dgm:layoutNode>
            </dgm:if>
            <dgm:else name="Name10"/>
          </dgm:choose>
          <dgm:choose name="Name11">
            <dgm:if name="Name12" axis="ch ch" ptType="node node" st="2 1" cnt="1 0" func="cnt" op="gte" val="1">
              <dgm:layoutNode name="child2group">
                <dgm:alg type="composite">
                  <dgm:param type="horzAlign" val="none"/>
                  <dgm:param type="vertAlign" val="none"/>
                </dgm:alg>
                <dgm:shape xmlns:r="http://schemas.openxmlformats.org/officeDocument/2006/relationships" r:blip="">
                  <dgm:adjLst/>
                </dgm:shape>
                <dgm:choose name="Name13">
                  <dgm:if name="Name14" func="var" arg="dir" op="equ" val="norm">
                    <dgm:constrLst>
                      <dgm:constr type="w" for="ch" forName="child2" refType="w"/>
                      <dgm:constr type="h" for="ch" forName="child2" refType="h"/>
                      <dgm:constr type="t" for="ch" forName="child2"/>
                      <dgm:constr type="r" for="ch" forName="child2" refType="w"/>
                      <dgm:constr type="w" for="ch" forName="child2Text" refType="w" fact="0.7"/>
                      <dgm:constr type="h" for="ch" forName="child2Text" refType="h" fact="0.75"/>
                      <dgm:constr type="t" for="ch" forName="child2Text"/>
                      <dgm:constr type="r" for="ch" forName="child2Text" refType="w"/>
                    </dgm:constrLst>
                  </dgm:if>
                  <dgm:else name="Name15">
                    <dgm:constrLst>
                      <dgm:constr type="w" for="ch" forName="child2" refType="w"/>
                      <dgm:constr type="h" for="ch" forName="child2" refType="h"/>
                      <dgm:constr type="t" for="ch" forName="child2"/>
                      <dgm:constr type="l" for="ch" forName="child2"/>
                      <dgm:constr type="w" for="ch" forName="child2Text" refType="w" fact="0.7"/>
                      <dgm:constr type="h" for="ch" forName="child2Text" refType="h" fact="0.75"/>
                      <dgm:constr type="t" for="ch" forName="child2Text"/>
                      <dgm:constr type="l" for="ch" forName="child2Text"/>
                    </dgm:constrLst>
                  </dgm:else>
                </dgm:choose>
                <dgm:ruleLst/>
                <dgm:layoutNode name="child2" styleLbl="bgAcc1">
                  <dgm:alg type="sp"/>
                  <dgm:shape xmlns:r="http://schemas.openxmlformats.org/officeDocument/2006/relationships" type="roundRect" r:blip="" zOrderOff="-2">
                    <dgm:adjLst>
                      <dgm:adj idx="1" val="0.1"/>
                    </dgm:adjLst>
                  </dgm:shape>
                  <dgm:presOf axis="ch des" ptType="node node" st="2 1" cnt="1 0"/>
                  <dgm:constrLst/>
                  <dgm:ruleLst/>
                </dgm:layoutNode>
                <dgm:layoutNode name="child2Text" styleLbl="bgAcc1">
                  <dgm:varLst>
                    <dgm:bulletEnabled val="1"/>
                  </dgm:varLst>
                  <dgm:alg type="tx">
                    <dgm:param type="stBulletLvl" val="1"/>
                  </dgm:alg>
                  <dgm:shape xmlns:r="http://schemas.openxmlformats.org/officeDocument/2006/relationships" type="roundRect" r:blip="" zOrderOff="-2" hideGeom="1">
                    <dgm:adjLst>
                      <dgm:adj idx="1" val="0.1"/>
                    </dgm:adjLst>
                  </dgm:shape>
                  <dgm:presOf axis="ch des" ptType="node node" st="2 1" cnt="1 0"/>
                  <dgm:constrLst>
                    <dgm:constr type="tMarg" refType="primFontSz" fact="0.3"/>
                    <dgm:constr type="bMarg" refType="primFontSz" fact="0.3"/>
                    <dgm:constr type="lMarg" refType="primFontSz" fact="0.3"/>
                    <dgm:constr type="rMarg" refType="primFontSz" fact="0.3"/>
                  </dgm:constrLst>
                  <dgm:ruleLst>
                    <dgm:rule type="primFontSz" val="5" fact="NaN" max="NaN"/>
                  </dgm:ruleLst>
                </dgm:layoutNode>
              </dgm:layoutNode>
            </dgm:if>
            <dgm:else name="Name16"/>
          </dgm:choose>
          <dgm:choose name="Name17">
            <dgm:if name="Name18" axis="ch ch" ptType="node node" st="3 1" cnt="1 0" func="cnt" op="gte" val="1">
              <dgm:layoutNode name="child3group">
                <dgm:alg type="composite">
                  <dgm:param type="horzAlign" val="none"/>
                  <dgm:param type="vertAlign" val="none"/>
                </dgm:alg>
                <dgm:shape xmlns:r="http://schemas.openxmlformats.org/officeDocument/2006/relationships" r:blip="">
                  <dgm:adjLst/>
                </dgm:shape>
                <dgm:presOf/>
                <dgm:choose name="Name19">
                  <dgm:if name="Name20" func="var" arg="dir" op="equ" val="norm">
                    <dgm:constrLst>
                      <dgm:constr type="w" for="ch" forName="child3" refType="w"/>
                      <dgm:constr type="h" for="ch" forName="child3" refType="h"/>
                      <dgm:constr type="b" for="ch" forName="child3" refType="h"/>
                      <dgm:constr type="r" for="ch" forName="child3" refType="w"/>
                      <dgm:constr type="w" for="ch" forName="child3Text" refType="w" fact="0.7"/>
                      <dgm:constr type="h" for="ch" forName="child3Text" refType="h" fact="0.75"/>
                      <dgm:constr type="b" for="ch" forName="child3Text" refType="h"/>
                      <dgm:constr type="r" for="ch" forName="child3Text" refType="w"/>
                    </dgm:constrLst>
                  </dgm:if>
                  <dgm:else name="Name21">
                    <dgm:constrLst>
                      <dgm:constr type="w" for="ch" forName="child3" refType="w"/>
                      <dgm:constr type="h" for="ch" forName="child3" refType="h"/>
                      <dgm:constr type="b" for="ch" forName="child3" refType="h"/>
                      <dgm:constr type="l" for="ch" forName="child3"/>
                      <dgm:constr type="w" for="ch" forName="child3Text" refType="w" fact="0.7"/>
                      <dgm:constr type="h" for="ch" forName="child3Text" refType="h" fact="0.75"/>
                      <dgm:constr type="b" for="ch" forName="child3Text" refType="h"/>
                      <dgm:constr type="l" for="ch" forName="child3Text"/>
                    </dgm:constrLst>
                  </dgm:else>
                </dgm:choose>
                <dgm:ruleLst/>
                <dgm:layoutNode name="child3" styleLbl="bgAcc1">
                  <dgm:alg type="sp"/>
                  <dgm:shape xmlns:r="http://schemas.openxmlformats.org/officeDocument/2006/relationships" type="roundRect" r:blip="" zOrderOff="-4">
                    <dgm:adjLst>
                      <dgm:adj idx="1" val="0.1"/>
                    </dgm:adjLst>
                  </dgm:shape>
                  <dgm:presOf axis="ch des" ptType="node node" st="3 1" cnt="1 0"/>
                  <dgm:constrLst/>
                  <dgm:ruleLst/>
                </dgm:layoutNode>
                <dgm:layoutNode name="child3Text" styleLbl="bgAcc1">
                  <dgm:varLst>
                    <dgm:bulletEnabled val="1"/>
                  </dgm:varLst>
                  <dgm:alg type="tx">
                    <dgm:param type="stBulletLvl" val="1"/>
                  </dgm:alg>
                  <dgm:shape xmlns:r="http://schemas.openxmlformats.org/officeDocument/2006/relationships" type="roundRect" r:blip="" zOrderOff="-4" hideGeom="1">
                    <dgm:adjLst>
                      <dgm:adj idx="1" val="0.1"/>
                    </dgm:adjLst>
                  </dgm:shape>
                  <dgm:presOf axis="ch des" ptType="node node" st="3 1" cnt="1 0"/>
                  <dgm:constrLst>
                    <dgm:constr type="tMarg" refType="primFontSz" fact="0.3"/>
                    <dgm:constr type="bMarg" refType="primFontSz" fact="0.3"/>
                    <dgm:constr type="lMarg" refType="primFontSz" fact="0.3"/>
                    <dgm:constr type="rMarg" refType="primFontSz" fact="0.3"/>
                  </dgm:constrLst>
                  <dgm:ruleLst>
                    <dgm:rule type="primFontSz" val="5" fact="NaN" max="NaN"/>
                  </dgm:ruleLst>
                </dgm:layoutNode>
              </dgm:layoutNode>
            </dgm:if>
            <dgm:else name="Name22"/>
          </dgm:choose>
          <dgm:choose name="Name23">
            <dgm:if name="Name24" axis="ch ch" ptType="node node" st="4 1" cnt="1 0" func="cnt" op="gte" val="1">
              <dgm:layoutNode name="child4group">
                <dgm:alg type="composite">
                  <dgm:param type="horzAlign" val="none"/>
                  <dgm:param type="vertAlign" val="none"/>
                </dgm:alg>
                <dgm:shape xmlns:r="http://schemas.openxmlformats.org/officeDocument/2006/relationships" r:blip="">
                  <dgm:adjLst/>
                </dgm:shape>
                <dgm:presOf/>
                <dgm:choose name="Name25">
                  <dgm:if name="Name26" func="var" arg="dir" op="equ" val="norm">
                    <dgm:constrLst>
                      <dgm:constr type="w" for="ch" forName="child4" refType="w"/>
                      <dgm:constr type="h" for="ch" forName="child4" refType="h"/>
                      <dgm:constr type="b" for="ch" forName="child4" refType="h"/>
                      <dgm:constr type="l" for="ch" forName="child4"/>
                      <dgm:constr type="w" for="ch" forName="child4Text" refType="w" fact="0.7"/>
                      <dgm:constr type="h" for="ch" forName="child4Text" refType="h" fact="0.75"/>
                      <dgm:constr type="b" for="ch" forName="child4Text" refType="h"/>
                      <dgm:constr type="l" for="ch" forName="child4Text"/>
                    </dgm:constrLst>
                  </dgm:if>
                  <dgm:else name="Name27">
                    <dgm:constrLst>
                      <dgm:constr type="w" for="ch" forName="child4" refType="w"/>
                      <dgm:constr type="h" for="ch" forName="child4" refType="h"/>
                      <dgm:constr type="b" for="ch" forName="child4" refType="h"/>
                      <dgm:constr type="r" for="ch" forName="child4" refType="w"/>
                      <dgm:constr type="w" for="ch" forName="child4Text" refType="w" fact="0.7"/>
                      <dgm:constr type="h" for="ch" forName="child4Text" refType="h" fact="0.75"/>
                      <dgm:constr type="b" for="ch" forName="child4Text" refType="h"/>
                      <dgm:constr type="r" for="ch" forName="child4Text" refType="w"/>
                    </dgm:constrLst>
                  </dgm:else>
                </dgm:choose>
                <dgm:ruleLst/>
                <dgm:layoutNode name="child4" styleLbl="bgAcc1">
                  <dgm:alg type="sp"/>
                  <dgm:shape xmlns:r="http://schemas.openxmlformats.org/officeDocument/2006/relationships" type="roundRect" r:blip="" zOrderOff="-4">
                    <dgm:adjLst>
                      <dgm:adj idx="1" val="0.1"/>
                    </dgm:adjLst>
                  </dgm:shape>
                  <dgm:presOf axis="ch des" ptType="node node" st="4 1" cnt="1 0"/>
                  <dgm:constrLst/>
                  <dgm:ruleLst/>
                </dgm:layoutNode>
                <dgm:layoutNode name="child4Text" styleLbl="bgAcc1">
                  <dgm:varLst>
                    <dgm:bulletEnabled val="1"/>
                  </dgm:varLst>
                  <dgm:alg type="tx">
                    <dgm:param type="stBulletLvl" val="1"/>
                  </dgm:alg>
                  <dgm:shape xmlns:r="http://schemas.openxmlformats.org/officeDocument/2006/relationships" type="roundRect" r:blip="" zOrderOff="-4" hideGeom="1">
                    <dgm:adjLst>
                      <dgm:adj idx="1" val="0.1"/>
                    </dgm:adjLst>
                  </dgm:shape>
                  <dgm:presOf axis="ch des" ptType="node node" st="4 1" cnt="1 0"/>
                  <dgm:constrLst>
                    <dgm:constr type="tMarg" refType="primFontSz" fact="0.3"/>
                    <dgm:constr type="bMarg" refType="primFontSz" fact="0.3"/>
                    <dgm:constr type="lMarg" refType="primFontSz" fact="0.3"/>
                    <dgm:constr type="rMarg" refType="primFontSz" fact="0.3"/>
                  </dgm:constrLst>
                  <dgm:ruleLst>
                    <dgm:rule type="primFontSz" val="5" fact="NaN" max="NaN"/>
                  </dgm:ruleLst>
                </dgm:layoutNode>
              </dgm:layoutNode>
            </dgm:if>
            <dgm:else name="Name28"/>
          </dgm:choose>
          <dgm:layoutNode name="childPlaceholder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layoutNode>
        <dgm:layoutNode name="circle">
          <dgm:alg type="composite">
            <dgm:param type="ar" val="1"/>
          </dgm:alg>
          <dgm:shape xmlns:r="http://schemas.openxmlformats.org/officeDocument/2006/relationships" r:blip="">
            <dgm:adjLst/>
          </dgm:shape>
          <dgm:presOf/>
          <dgm:choose name="Name29">
            <dgm:if name="Name30" func="var" arg="dir" op="equ" val="norm">
              <dgm:constrLst>
                <dgm:constr type="primFontSz" for="ch" ptType="node" op="equ" val="65"/>
                <dgm:constr type="w" for="ch" forName="quadrant1" refType="w" fact="0.433"/>
                <dgm:constr type="h" for="ch" forName="quadrant1" refType="h" fact="0.433"/>
                <dgm:constr type="b" for="ch" forName="quadrant1" refType="h" fact="0.5"/>
                <dgm:constr type="bOff" for="ch" forName="quadrant1" refType="h" fact="-0.01"/>
                <dgm:constr type="r" for="ch" forName="quadrant1" refType="w" fact="0.5"/>
                <dgm:constr type="rOff" for="ch" forName="quadrant1" refType="w" fact="-0.01"/>
                <dgm:constr type="w" for="ch" forName="quadrant2" refType="w" fact="0.433"/>
                <dgm:constr type="h" for="ch" forName="quadrant2" refType="h" fact="0.433"/>
                <dgm:constr type="b" for="ch" forName="quadrant2" refType="h" fact="0.5"/>
                <dgm:constr type="bOff" for="ch" forName="quadrant2" refType="h" fact="-0.01"/>
                <dgm:constr type="l" for="ch" forName="quadrant2" refType="w" fact="0.5"/>
                <dgm:constr type="lOff" for="ch" forName="quadrant2" refType="w" fact="0.01"/>
                <dgm:constr type="w" for="ch" forName="quadrant3" refType="w" fact="0.433"/>
                <dgm:constr type="h" for="ch" forName="quadrant3" refType="h" fact="0.433"/>
                <dgm:constr type="t" for="ch" forName="quadrant3" refType="h" fact="0.5"/>
                <dgm:constr type="tOff" for="ch" forName="quadrant3" refType="h" fact="0.01"/>
                <dgm:constr type="l" for="ch" forName="quadrant3" refType="w" fact="0.5"/>
                <dgm:constr type="lOff" for="ch" forName="quadrant3" refType="w" fact="0.01"/>
                <dgm:constr type="w" for="ch" forName="quadrant4" refType="w" fact="0.433"/>
                <dgm:constr type="h" for="ch" forName="quadrant4" refType="h" fact="0.433"/>
                <dgm:constr type="t" for="ch" forName="quadrant4" refType="h" fact="0.5"/>
                <dgm:constr type="tOff" for="ch" forName="quadrant4" refType="h" fact="0.01"/>
                <dgm:constr type="r" for="ch" forName="quadrant4" refType="w" fact="0.5"/>
                <dgm:constr type="rOff" for="ch" forName="quadrant4" refType="w" fact="-0.01"/>
              </dgm:constrLst>
            </dgm:if>
            <dgm:else name="Name31">
              <dgm:constrLst>
                <dgm:constr type="primFontSz" for="ch" ptType="node" op="equ" val="65"/>
                <dgm:constr type="w" for="ch" forName="quadrant1" refType="w" fact="0.433"/>
                <dgm:constr type="h" for="ch" forName="quadrant1" refType="h" fact="0.433"/>
                <dgm:constr type="b" for="ch" forName="quadrant1" refType="h" fact="0.5"/>
                <dgm:constr type="bOff" for="ch" forName="quadrant1" refType="h" fact="-0.01"/>
                <dgm:constr type="l" for="ch" forName="quadrant1" refType="w" fact="0.5"/>
                <dgm:constr type="lOff" for="ch" forName="quadrant1" refType="w" fact="0.01"/>
                <dgm:constr type="w" for="ch" forName="quadrant2" refType="w" fact="0.433"/>
                <dgm:constr type="h" for="ch" forName="quadrant2" refType="h" fact="0.433"/>
                <dgm:constr type="b" for="ch" forName="quadrant2" refType="h" fact="0.5"/>
                <dgm:constr type="bOff" for="ch" forName="quadrant2" refType="h" fact="-0.01"/>
                <dgm:constr type="r" for="ch" forName="quadrant2" refType="w" fact="0.5"/>
                <dgm:constr type="rOff" for="ch" forName="quadrant2" refType="w" fact="-0.01"/>
                <dgm:constr type="w" for="ch" forName="quadrant3" refType="w" fact="0.433"/>
                <dgm:constr type="h" for="ch" forName="quadrant3" refType="h" fact="0.433"/>
                <dgm:constr type="t" for="ch" forName="quadrant3" refType="h" fact="0.5"/>
                <dgm:constr type="tOff" for="ch" forName="quadrant3" refType="h" fact="0.01"/>
                <dgm:constr type="r" for="ch" forName="quadrant3" refType="w" fact="0.5"/>
                <dgm:constr type="rOff" for="ch" forName="quadrant3" refType="w" fact="-0.01"/>
                <dgm:constr type="w" for="ch" forName="quadrant4" refType="w" fact="0.433"/>
                <dgm:constr type="h" for="ch" forName="quadrant4" refType="h" fact="0.433"/>
                <dgm:constr type="t" for="ch" forName="quadrant4" refType="h" fact="0.5"/>
                <dgm:constr type="tOff" for="ch" forName="quadrant4" refType="h" fact="0.01"/>
                <dgm:constr type="l" for="ch" forName="quadrant4" refType="w" fact="0.5"/>
                <dgm:constr type="lOff" for="ch" forName="quadrant4" refType="w" fact="0.01"/>
              </dgm:constrLst>
            </dgm:else>
          </dgm:choose>
          <dgm:ruleLst/>
          <dgm:layoutNode name="quadrant1" styleLbl="node1">
            <dgm:varLst>
              <dgm:chMax val="1"/>
              <dgm:bulletEnabled val="1"/>
            </dgm:varLst>
            <dgm:alg type="tx"/>
            <dgm:choose name="Name32">
              <dgm:if name="Name33" func="var" arg="dir" op="equ" val="norm">
                <dgm:shape xmlns:r="http://schemas.openxmlformats.org/officeDocument/2006/relationships" type="pieWedge" r:blip="">
                  <dgm:adjLst/>
                </dgm:shape>
              </dgm:if>
              <dgm:else name="Name34">
                <dgm:shape xmlns:r="http://schemas.openxmlformats.org/officeDocument/2006/relationships" rot="90" type="pieWedge" r:blip="">
                  <dgm:adjLst/>
                </dgm:shape>
              </dgm:else>
            </dgm:choose>
            <dgm:presOf axis="ch" ptType="node" cnt="1"/>
            <dgm:constrLst/>
            <dgm:ruleLst>
              <dgm:rule type="primFontSz" val="5" fact="NaN" max="NaN"/>
            </dgm:ruleLst>
          </dgm:layoutNode>
          <dgm:layoutNode name="quadrant2" styleLbl="node1">
            <dgm:varLst>
              <dgm:chMax val="1"/>
              <dgm:bulletEnabled val="1"/>
            </dgm:varLst>
            <dgm:alg type="tx"/>
            <dgm:choose name="Name35">
              <dgm:if name="Name36" func="var" arg="dir" op="equ" val="norm">
                <dgm:shape xmlns:r="http://schemas.openxmlformats.org/officeDocument/2006/relationships" rot="90" type="pieWedge" r:blip="">
                  <dgm:adjLst/>
                </dgm:shape>
              </dgm:if>
              <dgm:else name="Name37">
                <dgm:shape xmlns:r="http://schemas.openxmlformats.org/officeDocument/2006/relationships" type="pieWedge" r:blip="">
                  <dgm:adjLst/>
                </dgm:shape>
              </dgm:else>
            </dgm:choose>
            <dgm:presOf axis="ch" ptType="node" st="2" cnt="1"/>
            <dgm:constrLst/>
            <dgm:ruleLst>
              <dgm:rule type="primFontSz" val="5" fact="NaN" max="NaN"/>
            </dgm:ruleLst>
          </dgm:layoutNode>
          <dgm:layoutNode name="quadrant3" styleLbl="node1">
            <dgm:varLst>
              <dgm:chMax val="1"/>
              <dgm:bulletEnabled val="1"/>
            </dgm:varLst>
            <dgm:alg type="tx"/>
            <dgm:choose name="Name38">
              <dgm:if name="Name39" func="var" arg="dir" op="equ" val="norm">
                <dgm:shape xmlns:r="http://schemas.openxmlformats.org/officeDocument/2006/relationships" rot="180" type="pieWedge" r:blip="">
                  <dgm:adjLst/>
                </dgm:shape>
              </dgm:if>
              <dgm:else name="Name40">
                <dgm:shape xmlns:r="http://schemas.openxmlformats.org/officeDocument/2006/relationships" rot="270" type="pieWedge" r:blip="">
                  <dgm:adjLst/>
                </dgm:shape>
              </dgm:else>
            </dgm:choose>
            <dgm:presOf axis="ch" ptType="node" st="3" cnt="1"/>
            <dgm:constrLst/>
            <dgm:ruleLst>
              <dgm:rule type="primFontSz" val="5" fact="NaN" max="NaN"/>
            </dgm:ruleLst>
          </dgm:layoutNode>
          <dgm:layoutNode name="quadrant4" styleLbl="node1">
            <dgm:varLst>
              <dgm:chMax val="1"/>
              <dgm:bulletEnabled val="1"/>
            </dgm:varLst>
            <dgm:alg type="tx"/>
            <dgm:choose name="Name41">
              <dgm:if name="Name42" func="var" arg="dir" op="equ" val="norm">
                <dgm:shape xmlns:r="http://schemas.openxmlformats.org/officeDocument/2006/relationships" rot="270" type="pieWedge" r:blip="">
                  <dgm:adjLst/>
                </dgm:shape>
              </dgm:if>
              <dgm:else name="Name43">
                <dgm:shape xmlns:r="http://schemas.openxmlformats.org/officeDocument/2006/relationships" rot="180" type="pieWedge" r:blip="">
                  <dgm:adjLst/>
                </dgm:shape>
              </dgm:else>
            </dgm:choose>
            <dgm:presOf axis="ch" ptType="node" st="4" cnt="1"/>
            <dgm:constrLst/>
            <dgm:ruleLst>
              <dgm:rule type="primFontSz" val="5" fact="NaN" max="NaN"/>
            </dgm:ruleLst>
          </dgm:layoutNode>
          <dgm:layoutNode name="quadrantPlaceholder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layoutNode>
        <dgm:layoutNode name="center1" styleLbl="fgShp">
          <dgm:alg type="sp"/>
          <dgm:choose name="Name44">
            <dgm:if name="Name45" func="var" arg="dir" op="equ" val="norm">
              <dgm:shape xmlns:r="http://schemas.openxmlformats.org/officeDocument/2006/relationships" type="circularArrow" r:blip="" zOrderOff="16">
                <dgm:adjLst/>
              </dgm:shape>
            </dgm:if>
            <dgm:else name="Name46">
              <dgm:shape xmlns:r="http://schemas.openxmlformats.org/officeDocument/2006/relationships" rot="180" type="leftCircularArrow" r:blip="" zOrderOff="16">
                <dgm:adjLst/>
              </dgm:shape>
            </dgm:else>
          </dgm:choose>
          <dgm:presOf/>
          <dgm:constrLst/>
          <dgm:ruleLst/>
        </dgm:layoutNode>
        <dgm:layoutNode name="center2" styleLbl="fgShp">
          <dgm:alg type="sp"/>
          <dgm:choose name="Name47">
            <dgm:if name="Name48" func="var" arg="dir" op="equ" val="norm">
              <dgm:shape xmlns:r="http://schemas.openxmlformats.org/officeDocument/2006/relationships" rot="180" type="circularArrow" r:blip="" zOrderOff="16">
                <dgm:adjLst/>
              </dgm:shape>
            </dgm:if>
            <dgm:else name="Name49">
              <dgm:shape xmlns:r="http://schemas.openxmlformats.org/officeDocument/2006/relationships" type="leftCircularArrow" r:blip="" zOrderOff="16">
                <dgm:adjLst/>
              </dgm:shape>
            </dgm:else>
          </dgm:choose>
          <dgm:presOf/>
          <dgm:constrLst/>
          <dgm:ruleLst/>
        </dgm:layoutNode>
      </dgm:if>
      <dgm:else name="Name50"/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jpeg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image" Target="../media/image18.PNG"/><Relationship Id="rId18" Type="http://schemas.openxmlformats.org/officeDocument/2006/relationships/diagramColors" Target="../diagrams/colors1.xml"/><Relationship Id="rId3" Type="http://schemas.openxmlformats.org/officeDocument/2006/relationships/chart" Target="../charts/chart2.xml"/><Relationship Id="rId21" Type="http://schemas.openxmlformats.org/officeDocument/2006/relationships/image" Target="../media/image20.png"/><Relationship Id="rId7" Type="http://schemas.openxmlformats.org/officeDocument/2006/relationships/chart" Target="../charts/chart4.xml"/><Relationship Id="rId12" Type="http://schemas.openxmlformats.org/officeDocument/2006/relationships/chart" Target="../charts/chart6.xml"/><Relationship Id="rId17" Type="http://schemas.openxmlformats.org/officeDocument/2006/relationships/diagramQuickStyle" Target="../diagrams/quickStyle1.xml"/><Relationship Id="rId2" Type="http://schemas.openxmlformats.org/officeDocument/2006/relationships/chart" Target="../charts/chart1.xml"/><Relationship Id="rId16" Type="http://schemas.openxmlformats.org/officeDocument/2006/relationships/diagramLayout" Target="../diagrams/layout1.xml"/><Relationship Id="rId20" Type="http://schemas.openxmlformats.org/officeDocument/2006/relationships/image" Target="../media/image19.png"/><Relationship Id="rId1" Type="http://schemas.openxmlformats.org/officeDocument/2006/relationships/image" Target="../media/image12.jpeg"/><Relationship Id="rId6" Type="http://schemas.openxmlformats.org/officeDocument/2006/relationships/image" Target="../media/image14.PNG"/><Relationship Id="rId11" Type="http://schemas.openxmlformats.org/officeDocument/2006/relationships/image" Target="../media/image17.PNG"/><Relationship Id="rId5" Type="http://schemas.openxmlformats.org/officeDocument/2006/relationships/image" Target="../media/image13.PNG"/><Relationship Id="rId15" Type="http://schemas.openxmlformats.org/officeDocument/2006/relationships/diagramData" Target="../diagrams/data1.xml"/><Relationship Id="rId23" Type="http://schemas.openxmlformats.org/officeDocument/2006/relationships/image" Target="../media/image22.jpeg"/><Relationship Id="rId10" Type="http://schemas.openxmlformats.org/officeDocument/2006/relationships/image" Target="../media/image16.PNG"/><Relationship Id="rId19" Type="http://schemas.microsoft.com/office/2007/relationships/diagramDrawing" Target="../diagrams/drawing1.xml"/><Relationship Id="rId4" Type="http://schemas.openxmlformats.org/officeDocument/2006/relationships/chart" Target="../charts/chart3.xml"/><Relationship Id="rId9" Type="http://schemas.openxmlformats.org/officeDocument/2006/relationships/image" Target="../media/image15.png"/><Relationship Id="rId14" Type="http://schemas.openxmlformats.org/officeDocument/2006/relationships/chart" Target="../charts/chart7.xml"/><Relationship Id="rId22" Type="http://schemas.openxmlformats.org/officeDocument/2006/relationships/image" Target="../media/image2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2</xdr:row>
      <xdr:rowOff>104775</xdr:rowOff>
    </xdr:from>
    <xdr:to>
      <xdr:col>5</xdr:col>
      <xdr:colOff>92528</xdr:colOff>
      <xdr:row>7</xdr:row>
      <xdr:rowOff>142875</xdr:rowOff>
    </xdr:to>
    <xdr:pic>
      <xdr:nvPicPr>
        <xdr:cNvPr id="2" name="Picture 1" descr="Related 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485775"/>
          <a:ext cx="2264228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8</xdr:row>
      <xdr:rowOff>0</xdr:rowOff>
    </xdr:from>
    <xdr:to>
      <xdr:col>3</xdr:col>
      <xdr:colOff>2425700</xdr:colOff>
      <xdr:row>9</xdr:row>
      <xdr:rowOff>50800</xdr:rowOff>
    </xdr:to>
    <xdr:sp macro="" textlink="">
      <xdr:nvSpPr>
        <xdr:cNvPr id="8193" name="ComboBox1" hidden="1">
          <a:extLst>
            <a:ext uri="{63B3BB69-23CF-44E3-9099-C40C66FF867C}">
              <a14:compatExt xmlns:a14="http://schemas.microsoft.com/office/drawing/2010/main" spid="_x0000_s8193"/>
            </a:ext>
            <a:ext uri="{FF2B5EF4-FFF2-40B4-BE49-F238E27FC236}">
              <a16:creationId xmlns:a16="http://schemas.microsoft.com/office/drawing/2014/main" id="{00000000-0008-0000-0200-000001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3</xdr:col>
      <xdr:colOff>0</xdr:colOff>
      <xdr:row>16</xdr:row>
      <xdr:rowOff>38100</xdr:rowOff>
    </xdr:from>
    <xdr:to>
      <xdr:col>3</xdr:col>
      <xdr:colOff>2400300</xdr:colOff>
      <xdr:row>17</xdr:row>
      <xdr:rowOff>88900</xdr:rowOff>
    </xdr:to>
    <xdr:sp macro="" textlink="">
      <xdr:nvSpPr>
        <xdr:cNvPr id="8194" name="ComboBox2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00000000-0008-0000-0200-000002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24</xdr:row>
      <xdr:rowOff>38100</xdr:rowOff>
    </xdr:from>
    <xdr:to>
      <xdr:col>3</xdr:col>
      <xdr:colOff>2400300</xdr:colOff>
      <xdr:row>25</xdr:row>
      <xdr:rowOff>63500</xdr:rowOff>
    </xdr:to>
    <xdr:sp macro="" textlink="">
      <xdr:nvSpPr>
        <xdr:cNvPr id="8195" name="ComboBox3" hidden="1">
          <a:extLst>
            <a:ext uri="{63B3BB69-23CF-44E3-9099-C40C66FF867C}">
              <a14:compatExt xmlns:a14="http://schemas.microsoft.com/office/drawing/2010/main" spid="_x0000_s8195"/>
            </a:ext>
            <a:ext uri="{FF2B5EF4-FFF2-40B4-BE49-F238E27FC236}">
              <a16:creationId xmlns:a16="http://schemas.microsoft.com/office/drawing/2014/main" id="{00000000-0008-0000-0200-000003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32</xdr:row>
      <xdr:rowOff>38100</xdr:rowOff>
    </xdr:from>
    <xdr:to>
      <xdr:col>3</xdr:col>
      <xdr:colOff>2400300</xdr:colOff>
      <xdr:row>33</xdr:row>
      <xdr:rowOff>63500</xdr:rowOff>
    </xdr:to>
    <xdr:sp macro="" textlink="">
      <xdr:nvSpPr>
        <xdr:cNvPr id="8196" name="ComboBox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00000000-0008-0000-0200-000004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52</xdr:row>
      <xdr:rowOff>38100</xdr:rowOff>
    </xdr:from>
    <xdr:to>
      <xdr:col>3</xdr:col>
      <xdr:colOff>2400300</xdr:colOff>
      <xdr:row>52</xdr:row>
      <xdr:rowOff>254000</xdr:rowOff>
    </xdr:to>
    <xdr:sp macro="" textlink="">
      <xdr:nvSpPr>
        <xdr:cNvPr id="8198" name="ComboBox6" hidden="1">
          <a:extLst>
            <a:ext uri="{63B3BB69-23CF-44E3-9099-C40C66FF867C}">
              <a14:compatExt xmlns:a14="http://schemas.microsoft.com/office/drawing/2010/main" spid="_x0000_s8198"/>
            </a:ext>
            <a:ext uri="{FF2B5EF4-FFF2-40B4-BE49-F238E27FC236}">
              <a16:creationId xmlns:a16="http://schemas.microsoft.com/office/drawing/2014/main" id="{00000000-0008-0000-0200-000006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60</xdr:row>
      <xdr:rowOff>38100</xdr:rowOff>
    </xdr:from>
    <xdr:to>
      <xdr:col>3</xdr:col>
      <xdr:colOff>2400300</xdr:colOff>
      <xdr:row>61</xdr:row>
      <xdr:rowOff>38100</xdr:rowOff>
    </xdr:to>
    <xdr:sp macro="" textlink="">
      <xdr:nvSpPr>
        <xdr:cNvPr id="8199" name="ComboBox7" hidden="1">
          <a:extLst>
            <a:ext uri="{63B3BB69-23CF-44E3-9099-C40C66FF867C}">
              <a14:compatExt xmlns:a14="http://schemas.microsoft.com/office/drawing/2010/main" spid="_x0000_s8199"/>
            </a:ext>
            <a:ext uri="{FF2B5EF4-FFF2-40B4-BE49-F238E27FC236}">
              <a16:creationId xmlns:a16="http://schemas.microsoft.com/office/drawing/2014/main" id="{00000000-0008-0000-0200-000007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68</xdr:row>
      <xdr:rowOff>38100</xdr:rowOff>
    </xdr:from>
    <xdr:to>
      <xdr:col>3</xdr:col>
      <xdr:colOff>2400300</xdr:colOff>
      <xdr:row>69</xdr:row>
      <xdr:rowOff>63500</xdr:rowOff>
    </xdr:to>
    <xdr:sp macro="" textlink="">
      <xdr:nvSpPr>
        <xdr:cNvPr id="8200" name="ComboBox8" hidden="1">
          <a:extLst>
            <a:ext uri="{63B3BB69-23CF-44E3-9099-C40C66FF867C}">
              <a14:compatExt xmlns:a14="http://schemas.microsoft.com/office/drawing/2010/main" spid="_x0000_s8200"/>
            </a:ext>
            <a:ext uri="{FF2B5EF4-FFF2-40B4-BE49-F238E27FC236}">
              <a16:creationId xmlns:a16="http://schemas.microsoft.com/office/drawing/2014/main" id="{00000000-0008-0000-0200-000008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44</xdr:row>
      <xdr:rowOff>38100</xdr:rowOff>
    </xdr:from>
    <xdr:to>
      <xdr:col>3</xdr:col>
      <xdr:colOff>2400300</xdr:colOff>
      <xdr:row>45</xdr:row>
      <xdr:rowOff>63500</xdr:rowOff>
    </xdr:to>
    <xdr:sp macro="" textlink="">
      <xdr:nvSpPr>
        <xdr:cNvPr id="8201" name="ComboBox5" hidden="1">
          <a:extLst>
            <a:ext uri="{63B3BB69-23CF-44E3-9099-C40C66FF867C}">
              <a14:compatExt xmlns:a14="http://schemas.microsoft.com/office/drawing/2010/main" spid="_x0000_s8201"/>
            </a:ext>
            <a:ext uri="{FF2B5EF4-FFF2-40B4-BE49-F238E27FC236}">
              <a16:creationId xmlns:a16="http://schemas.microsoft.com/office/drawing/2014/main" id="{00000000-0008-0000-0200-000009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352425</xdr:colOff>
      <xdr:row>0</xdr:row>
      <xdr:rowOff>123824</xdr:rowOff>
    </xdr:from>
    <xdr:to>
      <xdr:col>3</xdr:col>
      <xdr:colOff>1615170</xdr:colOff>
      <xdr:row>1</xdr:row>
      <xdr:rowOff>485775</xdr:rowOff>
    </xdr:to>
    <xdr:pic>
      <xdr:nvPicPr>
        <xdr:cNvPr id="12" name="Picture 11" descr="Related image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123824"/>
          <a:ext cx="1262745" cy="5524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2425700</xdr:colOff>
      <xdr:row>9</xdr:row>
      <xdr:rowOff>50800</xdr:rowOff>
    </xdr:to>
    <xdr:pic>
      <xdr:nvPicPr>
        <xdr:cNvPr id="2" name="ComboBox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700" y="1905000"/>
          <a:ext cx="24257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 editAs="oneCell">
    <xdr:from>
      <xdr:col>3</xdr:col>
      <xdr:colOff>0</xdr:colOff>
      <xdr:row>16</xdr:row>
      <xdr:rowOff>38100</xdr:rowOff>
    </xdr:from>
    <xdr:to>
      <xdr:col>3</xdr:col>
      <xdr:colOff>2400300</xdr:colOff>
      <xdr:row>17</xdr:row>
      <xdr:rowOff>88900</xdr:rowOff>
    </xdr:to>
    <xdr:pic>
      <xdr:nvPicPr>
        <xdr:cNvPr id="3" name="ComboBox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700" y="3467100"/>
          <a:ext cx="24003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24</xdr:row>
      <xdr:rowOff>38100</xdr:rowOff>
    </xdr:from>
    <xdr:to>
      <xdr:col>3</xdr:col>
      <xdr:colOff>2400300</xdr:colOff>
      <xdr:row>25</xdr:row>
      <xdr:rowOff>63500</xdr:rowOff>
    </xdr:to>
    <xdr:pic>
      <xdr:nvPicPr>
        <xdr:cNvPr id="4" name="ComboBox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700" y="4991100"/>
          <a:ext cx="2400300" cy="215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32</xdr:row>
      <xdr:rowOff>38100</xdr:rowOff>
    </xdr:from>
    <xdr:to>
      <xdr:col>3</xdr:col>
      <xdr:colOff>2400300</xdr:colOff>
      <xdr:row>33</xdr:row>
      <xdr:rowOff>63500</xdr:rowOff>
    </xdr:to>
    <xdr:pic>
      <xdr:nvPicPr>
        <xdr:cNvPr id="5" name="ComboBox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700" y="6515100"/>
          <a:ext cx="2400300" cy="215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52</xdr:row>
      <xdr:rowOff>38100</xdr:rowOff>
    </xdr:from>
    <xdr:to>
      <xdr:col>3</xdr:col>
      <xdr:colOff>2400300</xdr:colOff>
      <xdr:row>52</xdr:row>
      <xdr:rowOff>254000</xdr:rowOff>
    </xdr:to>
    <xdr:pic>
      <xdr:nvPicPr>
        <xdr:cNvPr id="6" name="ComboBox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700" y="10248900"/>
          <a:ext cx="2400300" cy="215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60</xdr:row>
      <xdr:rowOff>38100</xdr:rowOff>
    </xdr:from>
    <xdr:to>
      <xdr:col>3</xdr:col>
      <xdr:colOff>2400300</xdr:colOff>
      <xdr:row>61</xdr:row>
      <xdr:rowOff>38100</xdr:rowOff>
    </xdr:to>
    <xdr:pic>
      <xdr:nvPicPr>
        <xdr:cNvPr id="7" name="ComboBox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700" y="11684000"/>
          <a:ext cx="2400300" cy="215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68</xdr:row>
      <xdr:rowOff>38100</xdr:rowOff>
    </xdr:from>
    <xdr:to>
      <xdr:col>3</xdr:col>
      <xdr:colOff>2400300</xdr:colOff>
      <xdr:row>69</xdr:row>
      <xdr:rowOff>63500</xdr:rowOff>
    </xdr:to>
    <xdr:pic>
      <xdr:nvPicPr>
        <xdr:cNvPr id="8" name="ComboBox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700" y="13119100"/>
          <a:ext cx="2400300" cy="215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44</xdr:row>
      <xdr:rowOff>38100</xdr:rowOff>
    </xdr:from>
    <xdr:to>
      <xdr:col>3</xdr:col>
      <xdr:colOff>2400300</xdr:colOff>
      <xdr:row>45</xdr:row>
      <xdr:rowOff>63500</xdr:rowOff>
    </xdr:to>
    <xdr:pic>
      <xdr:nvPicPr>
        <xdr:cNvPr id="9" name="ComboBox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700" y="8801100"/>
          <a:ext cx="2400300" cy="215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447675</xdr:colOff>
      <xdr:row>0</xdr:row>
      <xdr:rowOff>180975</xdr:rowOff>
    </xdr:from>
    <xdr:to>
      <xdr:col>3</xdr:col>
      <xdr:colOff>2036989</xdr:colOff>
      <xdr:row>2</xdr:row>
      <xdr:rowOff>0</xdr:rowOff>
    </xdr:to>
    <xdr:pic>
      <xdr:nvPicPr>
        <xdr:cNvPr id="2" name="Picture 1" descr="Related imag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180975"/>
          <a:ext cx="1589314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16</xdr:row>
      <xdr:rowOff>180975</xdr:rowOff>
    </xdr:from>
    <xdr:to>
      <xdr:col>3</xdr:col>
      <xdr:colOff>1123950</xdr:colOff>
      <xdr:row>18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4429125" y="3495675"/>
          <a:ext cx="84772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i="1"/>
            <a:t>(10.5%)</a:t>
          </a:r>
        </a:p>
      </xdr:txBody>
    </xdr:sp>
    <xdr:clientData/>
  </xdr:twoCellAnchor>
  <xdr:twoCellAnchor>
    <xdr:from>
      <xdr:col>8</xdr:col>
      <xdr:colOff>352425</xdr:colOff>
      <xdr:row>16</xdr:row>
      <xdr:rowOff>171450</xdr:rowOff>
    </xdr:from>
    <xdr:to>
      <xdr:col>8</xdr:col>
      <xdr:colOff>1200150</xdr:colOff>
      <xdr:row>18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9324975" y="3448050"/>
          <a:ext cx="84772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i="1"/>
            <a:t>79 bps</a:t>
          </a:r>
        </a:p>
        <a:p>
          <a:endParaRPr lang="en-US" sz="1100" i="1"/>
        </a:p>
      </xdr:txBody>
    </xdr:sp>
    <xdr:clientData/>
  </xdr:twoCellAnchor>
  <xdr:twoCellAnchor>
    <xdr:from>
      <xdr:col>4</xdr:col>
      <xdr:colOff>95250</xdr:colOff>
      <xdr:row>16</xdr:row>
      <xdr:rowOff>180975</xdr:rowOff>
    </xdr:from>
    <xdr:to>
      <xdr:col>5</xdr:col>
      <xdr:colOff>133350</xdr:colOff>
      <xdr:row>18</xdr:row>
      <xdr:rowOff>38100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5381625" y="3495675"/>
          <a:ext cx="84772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i="1"/>
            <a:t>(16.3%)</a:t>
          </a:r>
        </a:p>
      </xdr:txBody>
    </xdr:sp>
    <xdr:clientData/>
  </xdr:twoCellAnchor>
  <xdr:twoCellAnchor>
    <xdr:from>
      <xdr:col>6</xdr:col>
      <xdr:colOff>0</xdr:colOff>
      <xdr:row>16</xdr:row>
      <xdr:rowOff>171450</xdr:rowOff>
    </xdr:from>
    <xdr:to>
      <xdr:col>7</xdr:col>
      <xdr:colOff>238125</xdr:colOff>
      <xdr:row>18</xdr:row>
      <xdr:rowOff>28575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7143750" y="3448050"/>
          <a:ext cx="84772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i="1"/>
            <a:t>(71.6%)</a:t>
          </a:r>
        </a:p>
      </xdr:txBody>
    </xdr:sp>
    <xdr:clientData/>
  </xdr:twoCellAnchor>
  <xdr:twoCellAnchor>
    <xdr:from>
      <xdr:col>7</xdr:col>
      <xdr:colOff>285750</xdr:colOff>
      <xdr:row>16</xdr:row>
      <xdr:rowOff>171450</xdr:rowOff>
    </xdr:from>
    <xdr:to>
      <xdr:col>7</xdr:col>
      <xdr:colOff>1133475</xdr:colOff>
      <xdr:row>18</xdr:row>
      <xdr:rowOff>28575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8039100" y="3448050"/>
          <a:ext cx="84772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i="1"/>
            <a:t>(302) bps</a:t>
          </a:r>
        </a:p>
        <a:p>
          <a:endParaRPr lang="en-US" sz="1100" i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619125</xdr:colOff>
      <xdr:row>11</xdr:row>
      <xdr:rowOff>123825</xdr:rowOff>
    </xdr:from>
    <xdr:to>
      <xdr:col>1</xdr:col>
      <xdr:colOff>638176</xdr:colOff>
      <xdr:row>35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CxnSpPr/>
      </xdr:nvCxnSpPr>
      <xdr:spPr>
        <a:xfrm flipH="1">
          <a:off x="866775" y="2219325"/>
          <a:ext cx="19051" cy="45720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376238</xdr:colOff>
      <xdr:row>27</xdr:row>
      <xdr:rowOff>52388</xdr:rowOff>
    </xdr:from>
    <xdr:to>
      <xdr:col>1</xdr:col>
      <xdr:colOff>900113</xdr:colOff>
      <xdr:row>33</xdr:row>
      <xdr:rowOff>128588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276226" y="5543550"/>
          <a:ext cx="1219200" cy="523875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366714</xdr:colOff>
      <xdr:row>20</xdr:row>
      <xdr:rowOff>42862</xdr:rowOff>
    </xdr:from>
    <xdr:to>
      <xdr:col>1</xdr:col>
      <xdr:colOff>890589</xdr:colOff>
      <xdr:row>26</xdr:row>
      <xdr:rowOff>119062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 rot="16200000">
          <a:off x="266702" y="4200524"/>
          <a:ext cx="1219200" cy="52387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376240</xdr:colOff>
      <xdr:row>12</xdr:row>
      <xdr:rowOff>185737</xdr:rowOff>
    </xdr:from>
    <xdr:to>
      <xdr:col>1</xdr:col>
      <xdr:colOff>900115</xdr:colOff>
      <xdr:row>19</xdr:row>
      <xdr:rowOff>71437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276228" y="2819399"/>
          <a:ext cx="1219200" cy="5238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323850</xdr:colOff>
      <xdr:row>30</xdr:row>
      <xdr:rowOff>47625</xdr:rowOff>
    </xdr:from>
    <xdr:to>
      <xdr:col>1</xdr:col>
      <xdr:colOff>1219200</xdr:colOff>
      <xdr:row>31</xdr:row>
      <xdr:rowOff>85725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571500" y="5762625"/>
          <a:ext cx="8953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bg1"/>
              </a:solidFill>
            </a:rPr>
            <a:t>M &lt; -2.22</a:t>
          </a:r>
        </a:p>
      </xdr:txBody>
    </xdr:sp>
    <xdr:clientData/>
  </xdr:twoCellAnchor>
  <xdr:twoCellAnchor>
    <xdr:from>
      <xdr:col>1</xdr:col>
      <xdr:colOff>314325</xdr:colOff>
      <xdr:row>23</xdr:row>
      <xdr:rowOff>76200</xdr:rowOff>
    </xdr:from>
    <xdr:to>
      <xdr:col>1</xdr:col>
      <xdr:colOff>1209675</xdr:colOff>
      <xdr:row>24</xdr:row>
      <xdr:rowOff>114300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561975" y="4457700"/>
          <a:ext cx="8953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bg1"/>
              </a:solidFill>
            </a:rPr>
            <a:t>M ~ -2.22</a:t>
          </a:r>
        </a:p>
      </xdr:txBody>
    </xdr:sp>
    <xdr:clientData/>
  </xdr:twoCellAnchor>
  <xdr:twoCellAnchor>
    <xdr:from>
      <xdr:col>4</xdr:col>
      <xdr:colOff>114300</xdr:colOff>
      <xdr:row>18</xdr:row>
      <xdr:rowOff>0</xdr:rowOff>
    </xdr:from>
    <xdr:to>
      <xdr:col>5</xdr:col>
      <xdr:colOff>400050</xdr:colOff>
      <xdr:row>19</xdr:row>
      <xdr:rowOff>38100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4181475" y="3429000"/>
          <a:ext cx="8953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/>
              </a:solidFill>
            </a:rPr>
            <a:t>M &gt;</a:t>
          </a:r>
          <a:r>
            <a:rPr lang="en-US" sz="1100" b="1" baseline="0">
              <a:solidFill>
                <a:schemeClr val="bg1"/>
              </a:solidFill>
            </a:rPr>
            <a:t> </a:t>
          </a:r>
          <a:r>
            <a:rPr lang="en-US" sz="1100" b="1">
              <a:solidFill>
                <a:schemeClr val="bg1"/>
              </a:solidFill>
            </a:rPr>
            <a:t>-2.22</a:t>
          </a:r>
        </a:p>
      </xdr:txBody>
    </xdr:sp>
    <xdr:clientData/>
  </xdr:twoCellAnchor>
  <xdr:twoCellAnchor>
    <xdr:from>
      <xdr:col>1</xdr:col>
      <xdr:colOff>333375</xdr:colOff>
      <xdr:row>15</xdr:row>
      <xdr:rowOff>66675</xdr:rowOff>
    </xdr:from>
    <xdr:to>
      <xdr:col>1</xdr:col>
      <xdr:colOff>1228725</xdr:colOff>
      <xdr:row>16</xdr:row>
      <xdr:rowOff>104775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581025" y="2924175"/>
          <a:ext cx="8953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bg1"/>
              </a:solidFill>
            </a:rPr>
            <a:t>M &gt;</a:t>
          </a:r>
          <a:r>
            <a:rPr lang="en-US" sz="900" b="1" baseline="0">
              <a:solidFill>
                <a:schemeClr val="bg1"/>
              </a:solidFill>
            </a:rPr>
            <a:t> </a:t>
          </a:r>
          <a:r>
            <a:rPr lang="en-US" sz="900" b="1">
              <a:solidFill>
                <a:schemeClr val="bg1"/>
              </a:solidFill>
            </a:rPr>
            <a:t>-2.22</a:t>
          </a:r>
        </a:p>
      </xdr:txBody>
    </xdr:sp>
    <xdr:clientData/>
  </xdr:twoCellAnchor>
  <xdr:twoCellAnchor>
    <xdr:from>
      <xdr:col>1</xdr:col>
      <xdr:colOff>295276</xdr:colOff>
      <xdr:row>34</xdr:row>
      <xdr:rowOff>104775</xdr:rowOff>
    </xdr:from>
    <xdr:to>
      <xdr:col>4</xdr:col>
      <xdr:colOff>400050</xdr:colOff>
      <xdr:row>34</xdr:row>
      <xdr:rowOff>114300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/>
      </xdr:nvCxnSpPr>
      <xdr:spPr>
        <a:xfrm flipH="1" flipV="1">
          <a:off x="542926" y="6581775"/>
          <a:ext cx="3924299" cy="95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190500</xdr:colOff>
      <xdr:row>11</xdr:row>
      <xdr:rowOff>123824</xdr:rowOff>
    </xdr:from>
    <xdr:to>
      <xdr:col>1</xdr:col>
      <xdr:colOff>238125</xdr:colOff>
      <xdr:row>26</xdr:row>
      <xdr:rowOff>57149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/>
      </xdr:nvSpPr>
      <xdr:spPr>
        <a:xfrm rot="16200000">
          <a:off x="-1057275" y="3467099"/>
          <a:ext cx="2790825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M Score</a:t>
          </a:r>
        </a:p>
      </xdr:txBody>
    </xdr:sp>
    <xdr:clientData/>
  </xdr:twoCellAnchor>
  <xdr:twoCellAnchor>
    <xdr:from>
      <xdr:col>1</xdr:col>
      <xdr:colOff>1038225</xdr:colOff>
      <xdr:row>35</xdr:row>
      <xdr:rowOff>28575</xdr:rowOff>
    </xdr:from>
    <xdr:to>
      <xdr:col>4</xdr:col>
      <xdr:colOff>180975</xdr:colOff>
      <xdr:row>39</xdr:row>
      <xdr:rowOff>123825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1285875" y="6696075"/>
          <a:ext cx="2962275" cy="857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2015                 2016              2017</a:t>
          </a:r>
        </a:p>
        <a:p>
          <a:r>
            <a:rPr lang="en-US" sz="1400" b="1"/>
            <a:t>                             </a:t>
          </a:r>
        </a:p>
        <a:p>
          <a:r>
            <a:rPr lang="en-US" sz="1400" b="1"/>
            <a:t>	</a:t>
          </a:r>
          <a:r>
            <a:rPr lang="en-US" sz="1400" b="1" baseline="0"/>
            <a:t>    </a:t>
          </a:r>
          <a:r>
            <a:rPr lang="en-US" sz="1400" b="1"/>
            <a:t>Year</a:t>
          </a:r>
        </a:p>
      </xdr:txBody>
    </xdr:sp>
    <xdr:clientData/>
  </xdr:twoCellAnchor>
  <xdr:twoCellAnchor>
    <xdr:from>
      <xdr:col>1</xdr:col>
      <xdr:colOff>1190625</xdr:colOff>
      <xdr:row>15</xdr:row>
      <xdr:rowOff>180975</xdr:rowOff>
    </xdr:from>
    <xdr:to>
      <xdr:col>1</xdr:col>
      <xdr:colOff>1724025</xdr:colOff>
      <xdr:row>18</xdr:row>
      <xdr:rowOff>95250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1438275" y="3038475"/>
          <a:ext cx="533400" cy="485775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2066925</xdr:colOff>
      <xdr:row>31</xdr:row>
      <xdr:rowOff>28575</xdr:rowOff>
    </xdr:from>
    <xdr:to>
      <xdr:col>2</xdr:col>
      <xdr:colOff>0</xdr:colOff>
      <xdr:row>33</xdr:row>
      <xdr:rowOff>133350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2314575" y="5934075"/>
          <a:ext cx="533400" cy="485775"/>
        </a:xfrm>
        <a:prstGeom prst="ellipse">
          <a:avLst/>
        </a:prstGeom>
        <a:solidFill>
          <a:srgbClr val="33CC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9525</xdr:colOff>
      <xdr:row>27</xdr:row>
      <xdr:rowOff>152400</xdr:rowOff>
    </xdr:from>
    <xdr:to>
      <xdr:col>3</xdr:col>
      <xdr:colOff>542925</xdr:colOff>
      <xdr:row>30</xdr:row>
      <xdr:rowOff>66675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3467100" y="5295900"/>
          <a:ext cx="533400" cy="485775"/>
        </a:xfrm>
        <a:prstGeom prst="ellipse">
          <a:avLst/>
        </a:prstGeom>
        <a:solidFill>
          <a:srgbClr val="33CC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2063532</xdr:colOff>
      <xdr:row>19</xdr:row>
      <xdr:rowOff>59899</xdr:rowOff>
    </xdr:from>
    <xdr:to>
      <xdr:col>1</xdr:col>
      <xdr:colOff>2549307</xdr:colOff>
      <xdr:row>29</xdr:row>
      <xdr:rowOff>124698</xdr:rowOff>
    </xdr:to>
    <xdr:sp macro="" textlink="">
      <xdr:nvSpPr>
        <xdr:cNvPr id="25" name="Right Arrow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3283863">
          <a:off x="1569170" y="4421411"/>
          <a:ext cx="1969799" cy="485775"/>
        </a:xfrm>
        <a:prstGeom prst="rightArrow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2107825</xdr:colOff>
      <xdr:row>19</xdr:row>
      <xdr:rowOff>190228</xdr:rowOff>
    </xdr:from>
    <xdr:to>
      <xdr:col>1</xdr:col>
      <xdr:colOff>2374525</xdr:colOff>
      <xdr:row>27</xdr:row>
      <xdr:rowOff>170545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 rot="3230591">
          <a:off x="1736666" y="4428537"/>
          <a:ext cx="1504317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/>
              </a:solidFill>
            </a:rPr>
            <a:t>M Score Improvement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342900</xdr:colOff>
      <xdr:row>5</xdr:row>
      <xdr:rowOff>41076</xdr:rowOff>
    </xdr:from>
    <xdr:to>
      <xdr:col>7</xdr:col>
      <xdr:colOff>1228725</xdr:colOff>
      <xdr:row>8</xdr:row>
      <xdr:rowOff>123825</xdr:rowOff>
    </xdr:to>
    <xdr:pic>
      <xdr:nvPicPr>
        <xdr:cNvPr id="2" name="Picture 1" descr="Related imag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5675" y="898326"/>
          <a:ext cx="1495425" cy="654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333375</xdr:colOff>
      <xdr:row>88</xdr:row>
      <xdr:rowOff>66674</xdr:rowOff>
    </xdr:from>
    <xdr:to>
      <xdr:col>5</xdr:col>
      <xdr:colOff>533401</xdr:colOff>
      <xdr:row>99</xdr:row>
      <xdr:rowOff>57149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85725</xdr:colOff>
      <xdr:row>118</xdr:row>
      <xdr:rowOff>123826</xdr:rowOff>
    </xdr:from>
    <xdr:to>
      <xdr:col>1</xdr:col>
      <xdr:colOff>104775</xdr:colOff>
      <xdr:row>129</xdr:row>
      <xdr:rowOff>131446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 flipV="1">
          <a:off x="695325" y="22393276"/>
          <a:ext cx="19050" cy="21031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523875</xdr:colOff>
      <xdr:row>129</xdr:row>
      <xdr:rowOff>9525</xdr:rowOff>
    </xdr:from>
    <xdr:to>
      <xdr:col>5</xdr:col>
      <xdr:colOff>571500</xdr:colOff>
      <xdr:row>129</xdr:row>
      <xdr:rowOff>9526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CxnSpPr/>
      </xdr:nvCxnSpPr>
      <xdr:spPr>
        <a:xfrm>
          <a:off x="523875" y="24374475"/>
          <a:ext cx="2457450" cy="1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129</xdr:row>
      <xdr:rowOff>85725</xdr:rowOff>
    </xdr:from>
    <xdr:to>
      <xdr:col>6</xdr:col>
      <xdr:colOff>371475</xdr:colOff>
      <xdr:row>130</xdr:row>
      <xdr:rowOff>76200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1390650" y="24450675"/>
          <a:ext cx="2038350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tx2"/>
              </a:solidFill>
            </a:rPr>
            <a:t>IMPACT</a:t>
          </a:r>
        </a:p>
      </xdr:txBody>
    </xdr:sp>
    <xdr:clientData/>
  </xdr:twoCellAnchor>
  <xdr:twoCellAnchor>
    <xdr:from>
      <xdr:col>0</xdr:col>
      <xdr:colOff>214312</xdr:colOff>
      <xdr:row>115</xdr:row>
      <xdr:rowOff>61913</xdr:rowOff>
    </xdr:from>
    <xdr:to>
      <xdr:col>0</xdr:col>
      <xdr:colOff>395287</xdr:colOff>
      <xdr:row>126</xdr:row>
      <xdr:rowOff>4763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 rot="16200000">
          <a:off x="-714375" y="22688550"/>
          <a:ext cx="2038350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tx2"/>
              </a:solidFill>
            </a:rPr>
            <a:t>PROBABILITY</a:t>
          </a:r>
        </a:p>
      </xdr:txBody>
    </xdr:sp>
    <xdr:clientData/>
  </xdr:twoCellAnchor>
  <xdr:twoCellAnchor>
    <xdr:from>
      <xdr:col>1</xdr:col>
      <xdr:colOff>323850</xdr:colOff>
      <xdr:row>118</xdr:row>
      <xdr:rowOff>85725</xdr:rowOff>
    </xdr:from>
    <xdr:to>
      <xdr:col>2</xdr:col>
      <xdr:colOff>352425</xdr:colOff>
      <xdr:row>121</xdr:row>
      <xdr:rowOff>57151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933450" y="22355175"/>
          <a:ext cx="638175" cy="542926"/>
        </a:xfrm>
        <a:prstGeom prst="rect">
          <a:avLst/>
        </a:prstGeom>
        <a:solidFill>
          <a:srgbClr val="E6E62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323850</xdr:colOff>
      <xdr:row>121</xdr:row>
      <xdr:rowOff>123825</xdr:rowOff>
    </xdr:from>
    <xdr:to>
      <xdr:col>2</xdr:col>
      <xdr:colOff>352425</xdr:colOff>
      <xdr:row>124</xdr:row>
      <xdr:rowOff>95251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933450" y="22964775"/>
          <a:ext cx="638175" cy="54292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333375</xdr:colOff>
      <xdr:row>124</xdr:row>
      <xdr:rowOff>161925</xdr:rowOff>
    </xdr:from>
    <xdr:to>
      <xdr:col>2</xdr:col>
      <xdr:colOff>361950</xdr:colOff>
      <xdr:row>127</xdr:row>
      <xdr:rowOff>133351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942975" y="23574375"/>
          <a:ext cx="638175" cy="542926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118</xdr:row>
      <xdr:rowOff>76200</xdr:rowOff>
    </xdr:from>
    <xdr:to>
      <xdr:col>4</xdr:col>
      <xdr:colOff>466725</xdr:colOff>
      <xdr:row>121</xdr:row>
      <xdr:rowOff>47626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1628775" y="22345650"/>
          <a:ext cx="638175" cy="542926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121</xdr:row>
      <xdr:rowOff>123825</xdr:rowOff>
    </xdr:from>
    <xdr:to>
      <xdr:col>4</xdr:col>
      <xdr:colOff>466725</xdr:colOff>
      <xdr:row>124</xdr:row>
      <xdr:rowOff>95251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1628775" y="22964775"/>
          <a:ext cx="638175" cy="542926"/>
        </a:xfrm>
        <a:prstGeom prst="rect">
          <a:avLst/>
        </a:prstGeom>
        <a:solidFill>
          <a:srgbClr val="E6E62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419100</xdr:colOff>
      <xdr:row>124</xdr:row>
      <xdr:rowOff>161925</xdr:rowOff>
    </xdr:from>
    <xdr:to>
      <xdr:col>4</xdr:col>
      <xdr:colOff>476250</xdr:colOff>
      <xdr:row>127</xdr:row>
      <xdr:rowOff>133351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1638300" y="23574375"/>
          <a:ext cx="638175" cy="54292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523875</xdr:colOff>
      <xdr:row>118</xdr:row>
      <xdr:rowOff>76200</xdr:rowOff>
    </xdr:from>
    <xdr:to>
      <xdr:col>5</xdr:col>
      <xdr:colOff>552450</xdr:colOff>
      <xdr:row>121</xdr:row>
      <xdr:rowOff>47626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2324100" y="22345650"/>
          <a:ext cx="638175" cy="542926"/>
        </a:xfrm>
        <a:prstGeom prst="rect">
          <a:avLst/>
        </a:prstGeom>
        <a:solidFill>
          <a:srgbClr val="FF33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523875</xdr:colOff>
      <xdr:row>121</xdr:row>
      <xdr:rowOff>133350</xdr:rowOff>
    </xdr:from>
    <xdr:to>
      <xdr:col>5</xdr:col>
      <xdr:colOff>552450</xdr:colOff>
      <xdr:row>124</xdr:row>
      <xdr:rowOff>104776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2324100" y="22974300"/>
          <a:ext cx="638175" cy="542926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533400</xdr:colOff>
      <xdr:row>124</xdr:row>
      <xdr:rowOff>161925</xdr:rowOff>
    </xdr:from>
    <xdr:to>
      <xdr:col>5</xdr:col>
      <xdr:colOff>561975</xdr:colOff>
      <xdr:row>127</xdr:row>
      <xdr:rowOff>133351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2333625" y="23574375"/>
          <a:ext cx="638175" cy="542926"/>
        </a:xfrm>
        <a:prstGeom prst="rect">
          <a:avLst/>
        </a:prstGeom>
        <a:solidFill>
          <a:srgbClr val="E6E62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381000</xdr:colOff>
      <xdr:row>127</xdr:row>
      <xdr:rowOff>161925</xdr:rowOff>
    </xdr:from>
    <xdr:to>
      <xdr:col>5</xdr:col>
      <xdr:colOff>619125</xdr:colOff>
      <xdr:row>128</xdr:row>
      <xdr:rowOff>152400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/>
      </xdr:nvSpPr>
      <xdr:spPr>
        <a:xfrm>
          <a:off x="990600" y="24145875"/>
          <a:ext cx="2038350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chemeClr val="accent1"/>
              </a:solidFill>
            </a:rPr>
            <a:t>  Low</a:t>
          </a:r>
          <a:r>
            <a:rPr lang="en-US" sz="800" b="1" baseline="0">
              <a:solidFill>
                <a:schemeClr val="accent1"/>
              </a:solidFill>
            </a:rPr>
            <a:t>                     </a:t>
          </a:r>
          <a:r>
            <a:rPr lang="en-US" sz="800" b="1">
              <a:solidFill>
                <a:schemeClr val="accent1"/>
              </a:solidFill>
            </a:rPr>
            <a:t>Medium                  High</a:t>
          </a:r>
        </a:p>
      </xdr:txBody>
    </xdr:sp>
    <xdr:clientData/>
  </xdr:twoCellAnchor>
  <xdr:twoCellAnchor>
    <xdr:from>
      <xdr:col>0</xdr:col>
      <xdr:colOff>481013</xdr:colOff>
      <xdr:row>117</xdr:row>
      <xdr:rowOff>166688</xdr:rowOff>
    </xdr:from>
    <xdr:to>
      <xdr:col>1</xdr:col>
      <xdr:colOff>52388</xdr:colOff>
      <xdr:row>128</xdr:row>
      <xdr:rowOff>109538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 rot="16200000">
          <a:off x="-447674" y="23174325"/>
          <a:ext cx="2038350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chemeClr val="accent1"/>
              </a:solidFill>
            </a:rPr>
            <a:t>  Low</a:t>
          </a:r>
          <a:r>
            <a:rPr lang="en-US" sz="800" b="1" baseline="0">
              <a:solidFill>
                <a:schemeClr val="accent1"/>
              </a:solidFill>
            </a:rPr>
            <a:t>                     </a:t>
          </a:r>
          <a:r>
            <a:rPr lang="en-US" sz="800" b="1">
              <a:solidFill>
                <a:schemeClr val="accent1"/>
              </a:solidFill>
            </a:rPr>
            <a:t>Medium                  High</a:t>
          </a:r>
        </a:p>
      </xdr:txBody>
    </xdr:sp>
    <xdr:clientData/>
  </xdr:twoCellAnchor>
  <xdr:twoCellAnchor>
    <xdr:from>
      <xdr:col>1</xdr:col>
      <xdr:colOff>19050</xdr:colOff>
      <xdr:row>117</xdr:row>
      <xdr:rowOff>85725</xdr:rowOff>
    </xdr:from>
    <xdr:to>
      <xdr:col>1</xdr:col>
      <xdr:colOff>152400</xdr:colOff>
      <xdr:row>118</xdr:row>
      <xdr:rowOff>9525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628650" y="22164675"/>
          <a:ext cx="133350" cy="1143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133350</xdr:colOff>
      <xdr:row>117</xdr:row>
      <xdr:rowOff>28575</xdr:rowOff>
    </xdr:from>
    <xdr:to>
      <xdr:col>2</xdr:col>
      <xdr:colOff>561975</xdr:colOff>
      <xdr:row>118</xdr:row>
      <xdr:rowOff>28575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 txBox="1"/>
      </xdr:nvSpPr>
      <xdr:spPr>
        <a:xfrm>
          <a:off x="742950" y="22107525"/>
          <a:ext cx="1038225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00" b="1" baseline="0">
              <a:solidFill>
                <a:schemeClr val="tx1"/>
              </a:solidFill>
            </a:rPr>
            <a:t>Operational &amp; Business Risk    </a:t>
          </a:r>
          <a:r>
            <a:rPr lang="en-US" sz="800" b="1" baseline="0">
              <a:solidFill>
                <a:schemeClr val="tx1"/>
              </a:solidFill>
            </a:rPr>
            <a:t>                </a:t>
          </a:r>
          <a:endParaRPr lang="en-US" sz="8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419100</xdr:colOff>
      <xdr:row>117</xdr:row>
      <xdr:rowOff>76200</xdr:rowOff>
    </xdr:from>
    <xdr:to>
      <xdr:col>2</xdr:col>
      <xdr:colOff>552450</xdr:colOff>
      <xdr:row>118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1638300" y="22155150"/>
          <a:ext cx="133350" cy="114300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542925</xdr:colOff>
      <xdr:row>117</xdr:row>
      <xdr:rowOff>38100</xdr:rowOff>
    </xdr:from>
    <xdr:to>
      <xdr:col>5</xdr:col>
      <xdr:colOff>390525</xdr:colOff>
      <xdr:row>118</xdr:row>
      <xdr:rowOff>38100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 txBox="1"/>
      </xdr:nvSpPr>
      <xdr:spPr>
        <a:xfrm>
          <a:off x="1762125" y="22117050"/>
          <a:ext cx="1038225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00" b="1" baseline="0">
              <a:solidFill>
                <a:schemeClr val="tx1"/>
              </a:solidFill>
            </a:rPr>
            <a:t>Market</a:t>
          </a:r>
          <a:endParaRPr lang="en-US" sz="8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342900</xdr:colOff>
      <xdr:row>117</xdr:row>
      <xdr:rowOff>76200</xdr:rowOff>
    </xdr:from>
    <xdr:to>
      <xdr:col>4</xdr:col>
      <xdr:colOff>476250</xdr:colOff>
      <xdr:row>118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2143125" y="22155150"/>
          <a:ext cx="133350" cy="1143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476250</xdr:colOff>
      <xdr:row>117</xdr:row>
      <xdr:rowOff>38100</xdr:rowOff>
    </xdr:from>
    <xdr:to>
      <xdr:col>6</xdr:col>
      <xdr:colOff>257175</xdr:colOff>
      <xdr:row>118</xdr:row>
      <xdr:rowOff>38100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2276475" y="22117050"/>
          <a:ext cx="1038225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00" b="1" baseline="0">
              <a:solidFill>
                <a:schemeClr val="tx1"/>
              </a:solidFill>
            </a:rPr>
            <a:t>Financial</a:t>
          </a:r>
          <a:endParaRPr lang="en-US" sz="800" b="1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490537</xdr:colOff>
      <xdr:row>131</xdr:row>
      <xdr:rowOff>19050</xdr:rowOff>
    </xdr:from>
    <xdr:to>
      <xdr:col>20</xdr:col>
      <xdr:colOff>52387</xdr:colOff>
      <xdr:row>145</xdr:row>
      <xdr:rowOff>95250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371475</xdr:colOff>
      <xdr:row>143</xdr:row>
      <xdr:rowOff>66675</xdr:rowOff>
    </xdr:from>
    <xdr:to>
      <xdr:col>19</xdr:col>
      <xdr:colOff>371475</xdr:colOff>
      <xdr:row>144</xdr:row>
      <xdr:rowOff>57150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8734425" y="27098625"/>
          <a:ext cx="3790950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2014        2015         2016         2017         2018E       2019E       2020E      </a:t>
          </a:r>
          <a:r>
            <a:rPr lang="en-US" sz="800" baseline="0"/>
            <a:t> </a:t>
          </a:r>
          <a:r>
            <a:rPr lang="en-US" sz="800"/>
            <a:t>2021E       2022E</a:t>
          </a:r>
        </a:p>
      </xdr:txBody>
    </xdr:sp>
    <xdr:clientData/>
  </xdr:twoCellAnchor>
  <xdr:twoCellAnchor>
    <xdr:from>
      <xdr:col>12</xdr:col>
      <xdr:colOff>233362</xdr:colOff>
      <xdr:row>147</xdr:row>
      <xdr:rowOff>0</xdr:rowOff>
    </xdr:from>
    <xdr:to>
      <xdr:col>20</xdr:col>
      <xdr:colOff>404812</xdr:colOff>
      <xdr:row>161</xdr:row>
      <xdr:rowOff>76200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390525</xdr:colOff>
      <xdr:row>159</xdr:row>
      <xdr:rowOff>66675</xdr:rowOff>
    </xdr:from>
    <xdr:to>
      <xdr:col>20</xdr:col>
      <xdr:colOff>95250</xdr:colOff>
      <xdr:row>160</xdr:row>
      <xdr:rowOff>38100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 txBox="1"/>
      </xdr:nvSpPr>
      <xdr:spPr>
        <a:xfrm>
          <a:off x="9429750" y="30146625"/>
          <a:ext cx="3495675" cy="1619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 2014        2015         2016      2017      2018E      2019E       2020E     2021E    2022E</a:t>
          </a:r>
        </a:p>
      </xdr:txBody>
    </xdr:sp>
    <xdr:clientData/>
  </xdr:twoCellAnchor>
  <xdr:twoCellAnchor>
    <xdr:from>
      <xdr:col>14</xdr:col>
      <xdr:colOff>47625</xdr:colOff>
      <xdr:row>154</xdr:row>
      <xdr:rowOff>38100</xdr:rowOff>
    </xdr:from>
    <xdr:to>
      <xdr:col>16</xdr:col>
      <xdr:colOff>314325</xdr:colOff>
      <xdr:row>156</xdr:row>
      <xdr:rowOff>57150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CxnSpPr/>
      </xdr:nvCxnSpPr>
      <xdr:spPr>
        <a:xfrm>
          <a:off x="9696450" y="29165550"/>
          <a:ext cx="1009650" cy="40005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361950</xdr:colOff>
      <xdr:row>149</xdr:row>
      <xdr:rowOff>95250</xdr:rowOff>
    </xdr:from>
    <xdr:to>
      <xdr:col>19</xdr:col>
      <xdr:colOff>219075</xdr:colOff>
      <xdr:row>155</xdr:row>
      <xdr:rowOff>171450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/>
      </xdr:nvCxnSpPr>
      <xdr:spPr>
        <a:xfrm flipV="1">
          <a:off x="10753725" y="28270200"/>
          <a:ext cx="1685925" cy="1219200"/>
        </a:xfrm>
        <a:prstGeom prst="straightConnector1">
          <a:avLst/>
        </a:prstGeom>
        <a:ln w="28575">
          <a:solidFill>
            <a:srgbClr val="33CC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332</xdr:colOff>
      <xdr:row>152</xdr:row>
      <xdr:rowOff>125664</xdr:rowOff>
    </xdr:from>
    <xdr:to>
      <xdr:col>16</xdr:col>
      <xdr:colOff>47544</xdr:colOff>
      <xdr:row>154</xdr:row>
      <xdr:rowOff>102315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 txBox="1"/>
      </xdr:nvSpPr>
      <xdr:spPr>
        <a:xfrm rot="1312576">
          <a:off x="9649157" y="28872114"/>
          <a:ext cx="790162" cy="3576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tx2"/>
              </a:solidFill>
            </a:rPr>
            <a:t>-3% CAGR</a:t>
          </a:r>
        </a:p>
      </xdr:txBody>
    </xdr:sp>
    <xdr:clientData/>
  </xdr:twoCellAnchor>
  <xdr:twoCellAnchor>
    <xdr:from>
      <xdr:col>16</xdr:col>
      <xdr:colOff>534070</xdr:colOff>
      <xdr:row>151</xdr:row>
      <xdr:rowOff>98553</xdr:rowOff>
    </xdr:from>
    <xdr:to>
      <xdr:col>18</xdr:col>
      <xdr:colOff>312628</xdr:colOff>
      <xdr:row>152</xdr:row>
      <xdr:rowOff>138989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 txBox="1"/>
      </xdr:nvSpPr>
      <xdr:spPr>
        <a:xfrm rot="19640519">
          <a:off x="10925845" y="28654503"/>
          <a:ext cx="997758" cy="23093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CC33"/>
              </a:solidFill>
            </a:rPr>
            <a:t>4.3% CAGR</a:t>
          </a:r>
        </a:p>
      </xdr:txBody>
    </xdr:sp>
    <xdr:clientData/>
  </xdr:twoCellAnchor>
  <xdr:twoCellAnchor>
    <xdr:from>
      <xdr:col>13</xdr:col>
      <xdr:colOff>28575</xdr:colOff>
      <xdr:row>138</xdr:row>
      <xdr:rowOff>85725</xdr:rowOff>
    </xdr:from>
    <xdr:to>
      <xdr:col>14</xdr:col>
      <xdr:colOff>476250</xdr:colOff>
      <xdr:row>138</xdr:row>
      <xdr:rowOff>171450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CxnSpPr/>
      </xdr:nvCxnSpPr>
      <xdr:spPr>
        <a:xfrm flipV="1">
          <a:off x="9067800" y="26165175"/>
          <a:ext cx="1057275" cy="8572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600123</xdr:colOff>
      <xdr:row>136</xdr:row>
      <xdr:rowOff>149127</xdr:rowOff>
    </xdr:from>
    <xdr:to>
      <xdr:col>14</xdr:col>
      <xdr:colOff>263393</xdr:colOff>
      <xdr:row>138</xdr:row>
      <xdr:rowOff>125778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 txBox="1"/>
      </xdr:nvSpPr>
      <xdr:spPr>
        <a:xfrm rot="21218463">
          <a:off x="9029748" y="25847577"/>
          <a:ext cx="882470" cy="3576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tx2"/>
              </a:solidFill>
            </a:rPr>
            <a:t>4.3% CAGR</a:t>
          </a:r>
        </a:p>
      </xdr:txBody>
    </xdr:sp>
    <xdr:clientData/>
  </xdr:twoCellAnchor>
  <xdr:twoCellAnchor>
    <xdr:from>
      <xdr:col>14</xdr:col>
      <xdr:colOff>514350</xdr:colOff>
      <xdr:row>131</xdr:row>
      <xdr:rowOff>152400</xdr:rowOff>
    </xdr:from>
    <xdr:to>
      <xdr:col>18</xdr:col>
      <xdr:colOff>438150</xdr:colOff>
      <xdr:row>138</xdr:row>
      <xdr:rowOff>38101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CxnSpPr/>
      </xdr:nvCxnSpPr>
      <xdr:spPr>
        <a:xfrm flipV="1">
          <a:off x="10163175" y="24898350"/>
          <a:ext cx="1885950" cy="1219201"/>
        </a:xfrm>
        <a:prstGeom prst="straightConnector1">
          <a:avLst/>
        </a:prstGeom>
        <a:ln w="28575">
          <a:solidFill>
            <a:srgbClr val="33CC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114970</xdr:colOff>
      <xdr:row>133</xdr:row>
      <xdr:rowOff>69979</xdr:rowOff>
    </xdr:from>
    <xdr:to>
      <xdr:col>17</xdr:col>
      <xdr:colOff>503128</xdr:colOff>
      <xdr:row>134</xdr:row>
      <xdr:rowOff>110415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 rot="19640519">
          <a:off x="10506745" y="25196929"/>
          <a:ext cx="997758" cy="23093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CC33"/>
              </a:solidFill>
            </a:rPr>
            <a:t>11.4% CAGR</a:t>
          </a:r>
        </a:p>
      </xdr:txBody>
    </xdr:sp>
    <xdr:clientData/>
  </xdr:twoCellAnchor>
  <xdr:twoCellAnchor editAs="oneCell">
    <xdr:from>
      <xdr:col>0</xdr:col>
      <xdr:colOff>352426</xdr:colOff>
      <xdr:row>135</xdr:row>
      <xdr:rowOff>123825</xdr:rowOff>
    </xdr:from>
    <xdr:to>
      <xdr:col>6</xdr:col>
      <xdr:colOff>372979</xdr:colOff>
      <xdr:row>145</xdr:row>
      <xdr:rowOff>48011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6" y="25631775"/>
          <a:ext cx="3078078" cy="1829186"/>
        </a:xfrm>
        <a:prstGeom prst="rect">
          <a:avLst/>
        </a:prstGeom>
      </xdr:spPr>
    </xdr:pic>
    <xdr:clientData/>
  </xdr:twoCellAnchor>
  <xdr:twoCellAnchor editAs="oneCell">
    <xdr:from>
      <xdr:col>0</xdr:col>
      <xdr:colOff>276225</xdr:colOff>
      <xdr:row>148</xdr:row>
      <xdr:rowOff>171449</xdr:rowOff>
    </xdr:from>
    <xdr:to>
      <xdr:col>6</xdr:col>
      <xdr:colOff>323701</xdr:colOff>
      <xdr:row>158</xdr:row>
      <xdr:rowOff>152786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28155899"/>
          <a:ext cx="3105001" cy="1886337"/>
        </a:xfrm>
        <a:prstGeom prst="rect">
          <a:avLst/>
        </a:prstGeom>
      </xdr:spPr>
    </xdr:pic>
    <xdr:clientData/>
  </xdr:twoCellAnchor>
  <xdr:twoCellAnchor>
    <xdr:from>
      <xdr:col>12</xdr:col>
      <xdr:colOff>457200</xdr:colOff>
      <xdr:row>12</xdr:row>
      <xdr:rowOff>66675</xdr:rowOff>
    </xdr:from>
    <xdr:to>
      <xdr:col>26</xdr:col>
      <xdr:colOff>333375</xdr:colOff>
      <xdr:row>12</xdr:row>
      <xdr:rowOff>76200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/>
      </xdr:nvCxnSpPr>
      <xdr:spPr>
        <a:xfrm>
          <a:off x="8886825" y="2143125"/>
          <a:ext cx="9867900" cy="9525"/>
        </a:xfrm>
        <a:prstGeom prst="line">
          <a:avLst/>
        </a:prstGeom>
        <a:ln>
          <a:solidFill>
            <a:srgbClr val="0099F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228600</xdr:colOff>
      <xdr:row>46</xdr:row>
      <xdr:rowOff>142875</xdr:rowOff>
    </xdr:from>
    <xdr:to>
      <xdr:col>16</xdr:col>
      <xdr:colOff>542925</xdr:colOff>
      <xdr:row>61</xdr:row>
      <xdr:rowOff>28575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314325</xdr:colOff>
      <xdr:row>162</xdr:row>
      <xdr:rowOff>76200</xdr:rowOff>
    </xdr:from>
    <xdr:to>
      <xdr:col>6</xdr:col>
      <xdr:colOff>152400</xdr:colOff>
      <xdr:row>174</xdr:row>
      <xdr:rowOff>19050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9</xdr:col>
      <xdr:colOff>57150</xdr:colOff>
      <xdr:row>173</xdr:row>
      <xdr:rowOff>161925</xdr:rowOff>
    </xdr:from>
    <xdr:to>
      <xdr:col>18</xdr:col>
      <xdr:colOff>561975</xdr:colOff>
      <xdr:row>181</xdr:row>
      <xdr:rowOff>152400</xdr:rowOff>
    </xdr:to>
    <xdr:pic>
      <xdr:nvPicPr>
        <xdr:cNvPr id="48" name="Picture 47" descr="https://lh5.googleusercontent.com/QXB9so4qEGYKg1AjPo8oLzzcS5BQby9fNftO7j6wPDsrSc9KpxS1MPsFiLRlO6wubQpg37oWZUCjT1N7oxgWb_DTq_QdngKOA-mVjQePK9ia1gSP4g0cnIAZsMYiQu40xg3T0x2_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81775" y="32908875"/>
          <a:ext cx="6629400" cy="1514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419100</xdr:colOff>
      <xdr:row>97</xdr:row>
      <xdr:rowOff>142875</xdr:rowOff>
    </xdr:from>
    <xdr:to>
      <xdr:col>4</xdr:col>
      <xdr:colOff>552635</xdr:colOff>
      <xdr:row>102</xdr:row>
      <xdr:rowOff>162061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0" y="18411825"/>
          <a:ext cx="1324160" cy="971686"/>
        </a:xfrm>
        <a:prstGeom prst="rect">
          <a:avLst/>
        </a:prstGeom>
      </xdr:spPr>
    </xdr:pic>
    <xdr:clientData/>
  </xdr:twoCellAnchor>
  <xdr:twoCellAnchor editAs="oneCell">
    <xdr:from>
      <xdr:col>9</xdr:col>
      <xdr:colOff>196049</xdr:colOff>
      <xdr:row>191</xdr:row>
      <xdr:rowOff>5053</xdr:rowOff>
    </xdr:from>
    <xdr:to>
      <xdr:col>17</xdr:col>
      <xdr:colOff>366824</xdr:colOff>
      <xdr:row>210</xdr:row>
      <xdr:rowOff>62244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0674" y="36181003"/>
          <a:ext cx="5314275" cy="3676691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186</xdr:row>
      <xdr:rowOff>71437</xdr:rowOff>
    </xdr:from>
    <xdr:to>
      <xdr:col>7</xdr:col>
      <xdr:colOff>2124075</xdr:colOff>
      <xdr:row>200</xdr:row>
      <xdr:rowOff>147637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400049</xdr:colOff>
      <xdr:row>200</xdr:row>
      <xdr:rowOff>28575</xdr:rowOff>
    </xdr:from>
    <xdr:to>
      <xdr:col>7</xdr:col>
      <xdr:colOff>676275</xdr:colOff>
      <xdr:row>201</xdr:row>
      <xdr:rowOff>19050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1619249" y="37919025"/>
          <a:ext cx="2724151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>
              <a:solidFill>
                <a:schemeClr val="tx2"/>
              </a:solidFill>
            </a:rPr>
            <a:t>      2012                    2016                     2020                          </a:t>
          </a:r>
        </a:p>
      </xdr:txBody>
    </xdr:sp>
    <xdr:clientData/>
  </xdr:twoCellAnchor>
  <xdr:twoCellAnchor>
    <xdr:from>
      <xdr:col>4</xdr:col>
      <xdr:colOff>581025</xdr:colOff>
      <xdr:row>126</xdr:row>
      <xdr:rowOff>95250</xdr:rowOff>
    </xdr:from>
    <xdr:to>
      <xdr:col>5</xdr:col>
      <xdr:colOff>104775</xdr:colOff>
      <xdr:row>127</xdr:row>
      <xdr:rowOff>19050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2381250" y="23888700"/>
          <a:ext cx="133350" cy="114300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114300</xdr:colOff>
      <xdr:row>126</xdr:row>
      <xdr:rowOff>38100</xdr:rowOff>
    </xdr:from>
    <xdr:to>
      <xdr:col>5</xdr:col>
      <xdr:colOff>523876</xdr:colOff>
      <xdr:row>127</xdr:row>
      <xdr:rowOff>47625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2524125" y="23831550"/>
          <a:ext cx="409576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/>
            <a:t>MK1</a:t>
          </a:r>
        </a:p>
      </xdr:txBody>
    </xdr:sp>
    <xdr:clientData/>
  </xdr:twoCellAnchor>
  <xdr:twoCellAnchor>
    <xdr:from>
      <xdr:col>2</xdr:col>
      <xdr:colOff>571500</xdr:colOff>
      <xdr:row>119</xdr:row>
      <xdr:rowOff>0</xdr:rowOff>
    </xdr:from>
    <xdr:to>
      <xdr:col>4</xdr:col>
      <xdr:colOff>123825</xdr:colOff>
      <xdr:row>119</xdr:row>
      <xdr:rowOff>114300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>
        <a:xfrm>
          <a:off x="1790700" y="22459950"/>
          <a:ext cx="133350" cy="114300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133350</xdr:colOff>
      <xdr:row>118</xdr:row>
      <xdr:rowOff>133350</xdr:rowOff>
    </xdr:from>
    <xdr:to>
      <xdr:col>4</xdr:col>
      <xdr:colOff>542926</xdr:colOff>
      <xdr:row>119</xdr:row>
      <xdr:rowOff>142875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1933575" y="22402800"/>
          <a:ext cx="409576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/>
            <a:t>MK2</a:t>
          </a:r>
        </a:p>
      </xdr:txBody>
    </xdr:sp>
    <xdr:clientData/>
  </xdr:twoCellAnchor>
  <xdr:twoCellAnchor>
    <xdr:from>
      <xdr:col>5</xdr:col>
      <xdr:colOff>342900</xdr:colOff>
      <xdr:row>118</xdr:row>
      <xdr:rowOff>171450</xdr:rowOff>
    </xdr:from>
    <xdr:to>
      <xdr:col>5</xdr:col>
      <xdr:colOff>476250</xdr:colOff>
      <xdr:row>119</xdr:row>
      <xdr:rowOff>95250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>
        <a:xfrm>
          <a:off x="2752725" y="22440900"/>
          <a:ext cx="133350" cy="114300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476250</xdr:colOff>
      <xdr:row>118</xdr:row>
      <xdr:rowOff>123825</xdr:rowOff>
    </xdr:from>
    <xdr:to>
      <xdr:col>6</xdr:col>
      <xdr:colOff>238126</xdr:colOff>
      <xdr:row>119</xdr:row>
      <xdr:rowOff>133350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2886075" y="22393275"/>
          <a:ext cx="409576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/>
            <a:t>MK3</a:t>
          </a:r>
        </a:p>
      </xdr:txBody>
    </xdr:sp>
    <xdr:clientData/>
  </xdr:twoCellAnchor>
  <xdr:twoCellAnchor>
    <xdr:from>
      <xdr:col>1</xdr:col>
      <xdr:colOff>381000</xdr:colOff>
      <xdr:row>118</xdr:row>
      <xdr:rowOff>161925</xdr:rowOff>
    </xdr:from>
    <xdr:to>
      <xdr:col>1</xdr:col>
      <xdr:colOff>514350</xdr:colOff>
      <xdr:row>119</xdr:row>
      <xdr:rowOff>85725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>
        <a:xfrm>
          <a:off x="990600" y="22431375"/>
          <a:ext cx="133350" cy="1143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523875</xdr:colOff>
      <xdr:row>118</xdr:row>
      <xdr:rowOff>104775</xdr:rowOff>
    </xdr:from>
    <xdr:to>
      <xdr:col>2</xdr:col>
      <xdr:colOff>323850</xdr:colOff>
      <xdr:row>119</xdr:row>
      <xdr:rowOff>114300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1133475" y="22374225"/>
          <a:ext cx="409575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/>
            <a:t>FI1</a:t>
          </a:r>
        </a:p>
      </xdr:txBody>
    </xdr:sp>
    <xdr:clientData/>
  </xdr:twoCellAnchor>
  <xdr:twoCellAnchor>
    <xdr:from>
      <xdr:col>1</xdr:col>
      <xdr:colOff>400050</xdr:colOff>
      <xdr:row>122</xdr:row>
      <xdr:rowOff>133350</xdr:rowOff>
    </xdr:from>
    <xdr:to>
      <xdr:col>1</xdr:col>
      <xdr:colOff>533400</xdr:colOff>
      <xdr:row>123</xdr:row>
      <xdr:rowOff>57150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>
        <a:xfrm>
          <a:off x="1009650" y="23164800"/>
          <a:ext cx="133350" cy="1143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542925</xdr:colOff>
      <xdr:row>122</xdr:row>
      <xdr:rowOff>85725</xdr:rowOff>
    </xdr:from>
    <xdr:to>
      <xdr:col>2</xdr:col>
      <xdr:colOff>342900</xdr:colOff>
      <xdr:row>123</xdr:row>
      <xdr:rowOff>95250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1152525" y="23117175"/>
          <a:ext cx="409575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/>
            <a:t>FI2</a:t>
          </a:r>
        </a:p>
      </xdr:txBody>
    </xdr:sp>
    <xdr:clientData/>
  </xdr:twoCellAnchor>
  <xdr:twoCellAnchor>
    <xdr:from>
      <xdr:col>4</xdr:col>
      <xdr:colOff>57150</xdr:colOff>
      <xdr:row>121</xdr:row>
      <xdr:rowOff>161925</xdr:rowOff>
    </xdr:from>
    <xdr:to>
      <xdr:col>4</xdr:col>
      <xdr:colOff>190500</xdr:colOff>
      <xdr:row>122</xdr:row>
      <xdr:rowOff>85725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>
        <a:xfrm>
          <a:off x="1857375" y="23002875"/>
          <a:ext cx="133350" cy="1143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200025</xdr:colOff>
      <xdr:row>121</xdr:row>
      <xdr:rowOff>104775</xdr:rowOff>
    </xdr:from>
    <xdr:to>
      <xdr:col>5</xdr:col>
      <xdr:colOff>1</xdr:colOff>
      <xdr:row>122</xdr:row>
      <xdr:rowOff>114300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 txBox="1"/>
      </xdr:nvSpPr>
      <xdr:spPr>
        <a:xfrm>
          <a:off x="2000250" y="22945725"/>
          <a:ext cx="409576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/>
            <a:t>OP1</a:t>
          </a:r>
        </a:p>
      </xdr:txBody>
    </xdr:sp>
    <xdr:clientData/>
  </xdr:twoCellAnchor>
  <xdr:twoCellAnchor>
    <xdr:from>
      <xdr:col>5</xdr:col>
      <xdr:colOff>304800</xdr:colOff>
      <xdr:row>122</xdr:row>
      <xdr:rowOff>142875</xdr:rowOff>
    </xdr:from>
    <xdr:to>
      <xdr:col>5</xdr:col>
      <xdr:colOff>438150</xdr:colOff>
      <xdr:row>123</xdr:row>
      <xdr:rowOff>66675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>
        <a:xfrm>
          <a:off x="2714625" y="23174325"/>
          <a:ext cx="133350" cy="1143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409575</xdr:colOff>
      <xdr:row>122</xdr:row>
      <xdr:rowOff>85725</xdr:rowOff>
    </xdr:from>
    <xdr:to>
      <xdr:col>6</xdr:col>
      <xdr:colOff>171451</xdr:colOff>
      <xdr:row>123</xdr:row>
      <xdr:rowOff>95250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 txBox="1"/>
      </xdr:nvSpPr>
      <xdr:spPr>
        <a:xfrm>
          <a:off x="2819400" y="23117175"/>
          <a:ext cx="409576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/>
            <a:t>OP2</a:t>
          </a:r>
        </a:p>
      </xdr:txBody>
    </xdr:sp>
    <xdr:clientData/>
  </xdr:twoCellAnchor>
  <xdr:twoCellAnchor>
    <xdr:from>
      <xdr:col>5</xdr:col>
      <xdr:colOff>304800</xdr:colOff>
      <xdr:row>121</xdr:row>
      <xdr:rowOff>180975</xdr:rowOff>
    </xdr:from>
    <xdr:to>
      <xdr:col>5</xdr:col>
      <xdr:colOff>438150</xdr:colOff>
      <xdr:row>122</xdr:row>
      <xdr:rowOff>104775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>
        <a:xfrm>
          <a:off x="2714625" y="23021925"/>
          <a:ext cx="133350" cy="1143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419100</xdr:colOff>
      <xdr:row>121</xdr:row>
      <xdr:rowOff>142875</xdr:rowOff>
    </xdr:from>
    <xdr:to>
      <xdr:col>6</xdr:col>
      <xdr:colOff>180976</xdr:colOff>
      <xdr:row>122</xdr:row>
      <xdr:rowOff>152400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 txBox="1"/>
      </xdr:nvSpPr>
      <xdr:spPr>
        <a:xfrm>
          <a:off x="2828925" y="22983825"/>
          <a:ext cx="409576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/>
            <a:t>OP3</a:t>
          </a:r>
        </a:p>
      </xdr:txBody>
    </xdr:sp>
    <xdr:clientData/>
  </xdr:twoCellAnchor>
  <xdr:twoCellAnchor>
    <xdr:from>
      <xdr:col>2</xdr:col>
      <xdr:colOff>57150</xdr:colOff>
      <xdr:row>123</xdr:row>
      <xdr:rowOff>104775</xdr:rowOff>
    </xdr:from>
    <xdr:to>
      <xdr:col>2</xdr:col>
      <xdr:colOff>190500</xdr:colOff>
      <xdr:row>124</xdr:row>
      <xdr:rowOff>28575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>
        <a:xfrm>
          <a:off x="1276350" y="23326725"/>
          <a:ext cx="133350" cy="1143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180975</xdr:colOff>
      <xdr:row>123</xdr:row>
      <xdr:rowOff>57150</xdr:rowOff>
    </xdr:from>
    <xdr:to>
      <xdr:col>4</xdr:col>
      <xdr:colOff>9526</xdr:colOff>
      <xdr:row>124</xdr:row>
      <xdr:rowOff>66675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 txBox="1"/>
      </xdr:nvSpPr>
      <xdr:spPr>
        <a:xfrm>
          <a:off x="1400175" y="23279100"/>
          <a:ext cx="409576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/>
            <a:t>OP4</a:t>
          </a:r>
        </a:p>
      </xdr:txBody>
    </xdr:sp>
    <xdr:clientData/>
  </xdr:twoCellAnchor>
  <xdr:twoCellAnchor editAs="oneCell">
    <xdr:from>
      <xdr:col>1</xdr:col>
      <xdr:colOff>0</xdr:colOff>
      <xdr:row>212</xdr:row>
      <xdr:rowOff>133350</xdr:rowOff>
    </xdr:from>
    <xdr:to>
      <xdr:col>12</xdr:col>
      <xdr:colOff>493459</xdr:colOff>
      <xdr:row>230</xdr:row>
      <xdr:rowOff>62541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0309800"/>
          <a:ext cx="8313484" cy="3358191"/>
        </a:xfrm>
        <a:prstGeom prst="rect">
          <a:avLst/>
        </a:prstGeom>
      </xdr:spPr>
    </xdr:pic>
    <xdr:clientData/>
  </xdr:twoCellAnchor>
  <xdr:twoCellAnchor>
    <xdr:from>
      <xdr:col>16</xdr:col>
      <xdr:colOff>561975</xdr:colOff>
      <xdr:row>17</xdr:row>
      <xdr:rowOff>104775</xdr:rowOff>
    </xdr:from>
    <xdr:to>
      <xdr:col>26</xdr:col>
      <xdr:colOff>333375</xdr:colOff>
      <xdr:row>17</xdr:row>
      <xdr:rowOff>114302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CxnSpPr/>
      </xdr:nvCxnSpPr>
      <xdr:spPr>
        <a:xfrm flipV="1">
          <a:off x="11620500" y="3133725"/>
          <a:ext cx="6962775" cy="9527"/>
        </a:xfrm>
        <a:prstGeom prst="line">
          <a:avLst/>
        </a:prstGeom>
        <a:ln>
          <a:solidFill>
            <a:srgbClr val="0099F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323850</xdr:colOff>
      <xdr:row>187</xdr:row>
      <xdr:rowOff>33337</xdr:rowOff>
    </xdr:from>
    <xdr:to>
      <xdr:col>32</xdr:col>
      <xdr:colOff>19050</xdr:colOff>
      <xdr:row>201</xdr:row>
      <xdr:rowOff>109537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371474</xdr:colOff>
      <xdr:row>233</xdr:row>
      <xdr:rowOff>171449</xdr:rowOff>
    </xdr:from>
    <xdr:to>
      <xdr:col>18</xdr:col>
      <xdr:colOff>209550</xdr:colOff>
      <xdr:row>259</xdr:row>
      <xdr:rowOff>142875</xdr:rowOff>
    </xdr:to>
    <xdr:graphicFrame macro="">
      <xdr:nvGraphicFramePr>
        <xdr:cNvPr id="72" name="Diagram 71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5" r:lo="rId16" r:qs="rId17" r:cs="rId18"/>
        </a:graphicData>
      </a:graphic>
    </xdr:graphicFrame>
    <xdr:clientData/>
  </xdr:twoCellAnchor>
  <xdr:twoCellAnchor editAs="oneCell">
    <xdr:from>
      <xdr:col>8</xdr:col>
      <xdr:colOff>257175</xdr:colOff>
      <xdr:row>243</xdr:row>
      <xdr:rowOff>180974</xdr:rowOff>
    </xdr:from>
    <xdr:to>
      <xdr:col>9</xdr:col>
      <xdr:colOff>736758</xdr:colOff>
      <xdr:row>246</xdr:row>
      <xdr:rowOff>29717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200" y="46262924"/>
          <a:ext cx="1089183" cy="420243"/>
        </a:xfrm>
        <a:prstGeom prst="rect">
          <a:avLst/>
        </a:prstGeom>
      </xdr:spPr>
    </xdr:pic>
    <xdr:clientData/>
  </xdr:twoCellAnchor>
  <xdr:twoCellAnchor editAs="oneCell">
    <xdr:from>
      <xdr:col>13</xdr:col>
      <xdr:colOff>180975</xdr:colOff>
      <xdr:row>248</xdr:row>
      <xdr:rowOff>30727</xdr:rowOff>
    </xdr:from>
    <xdr:to>
      <xdr:col>14</xdr:col>
      <xdr:colOff>457199</xdr:colOff>
      <xdr:row>252</xdr:row>
      <xdr:rowOff>187908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47065177"/>
          <a:ext cx="885824" cy="919181"/>
        </a:xfrm>
        <a:prstGeom prst="rect">
          <a:avLst/>
        </a:prstGeom>
      </xdr:spPr>
    </xdr:pic>
    <xdr:clientData/>
  </xdr:twoCellAnchor>
  <xdr:twoCellAnchor editAs="oneCell">
    <xdr:from>
      <xdr:col>8</xdr:col>
      <xdr:colOff>457200</xdr:colOff>
      <xdr:row>248</xdr:row>
      <xdr:rowOff>88344</xdr:rowOff>
    </xdr:from>
    <xdr:to>
      <xdr:col>9</xdr:col>
      <xdr:colOff>628650</xdr:colOff>
      <xdr:row>252</xdr:row>
      <xdr:rowOff>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47122794"/>
          <a:ext cx="781050" cy="673656"/>
        </a:xfrm>
        <a:prstGeom prst="rect">
          <a:avLst/>
        </a:prstGeom>
      </xdr:spPr>
    </xdr:pic>
    <xdr:clientData/>
  </xdr:twoCellAnchor>
  <xdr:twoCellAnchor editAs="oneCell">
    <xdr:from>
      <xdr:col>13</xdr:col>
      <xdr:colOff>276225</xdr:colOff>
      <xdr:row>243</xdr:row>
      <xdr:rowOff>487</xdr:rowOff>
    </xdr:from>
    <xdr:to>
      <xdr:col>14</xdr:col>
      <xdr:colOff>504825</xdr:colOff>
      <xdr:row>246</xdr:row>
      <xdr:rowOff>28575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379" t="18044" r="19009" b="14463"/>
        <a:stretch/>
      </xdr:blipFill>
      <xdr:spPr>
        <a:xfrm>
          <a:off x="9315450" y="46082437"/>
          <a:ext cx="838200" cy="59958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504823</xdr:colOff>
      <xdr:row>3</xdr:row>
      <xdr:rowOff>85725</xdr:rowOff>
    </xdr:from>
    <xdr:to>
      <xdr:col>21</xdr:col>
      <xdr:colOff>466724</xdr:colOff>
      <xdr:row>24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22</xdr:row>
      <xdr:rowOff>166687</xdr:rowOff>
    </xdr:from>
    <xdr:to>
      <xdr:col>7</xdr:col>
      <xdr:colOff>209550</xdr:colOff>
      <xdr:row>37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1171575</xdr:colOff>
      <xdr:row>22</xdr:row>
      <xdr:rowOff>57150</xdr:rowOff>
    </xdr:from>
    <xdr:to>
      <xdr:col>4</xdr:col>
      <xdr:colOff>1543050</xdr:colOff>
      <xdr:row>23</xdr:row>
      <xdr:rowOff>114300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5505450" y="4543425"/>
          <a:ext cx="2352675" cy="247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Distribution of Market Share %</a:t>
          </a:r>
        </a:p>
        <a:p>
          <a:endParaRPr lang="en-US" sz="1100" b="1"/>
        </a:p>
      </xdr:txBody>
    </xdr:sp>
    <xdr:clientData/>
  </xdr:twoCellAnchor>
  <xdr:twoCellAnchor>
    <xdr:from>
      <xdr:col>12</xdr:col>
      <xdr:colOff>390525</xdr:colOff>
      <xdr:row>2</xdr:row>
      <xdr:rowOff>142875</xdr:rowOff>
    </xdr:from>
    <xdr:to>
      <xdr:col>16</xdr:col>
      <xdr:colOff>304800</xdr:colOff>
      <xdr:row>3</xdr:row>
      <xdr:rowOff>190500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12706350" y="523875"/>
          <a:ext cx="2352675" cy="247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Comp Set Market Share %</a:t>
          </a:r>
        </a:p>
        <a:p>
          <a:endParaRPr lang="en-US" sz="1100" b="1"/>
        </a:p>
      </xdr:txBody>
    </xdr:sp>
    <xdr:clientData/>
  </xdr:twoCellAnchor>
  <xdr:twoCellAnchor>
    <xdr:from>
      <xdr:col>1</xdr:col>
      <xdr:colOff>444500</xdr:colOff>
      <xdr:row>40</xdr:row>
      <xdr:rowOff>127000</xdr:rowOff>
    </xdr:from>
    <xdr:to>
      <xdr:col>4</xdr:col>
      <xdr:colOff>339725</xdr:colOff>
      <xdr:row>62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3"/>
  </sheetPr>
  <dimension ref="A1"/>
  <sheetViews>
    <sheetView showGridLines="0" workbookViewId="0">
      <selection activeCell="H6" sqref="H6"/>
    </sheetView>
  </sheetViews>
  <sheetFormatPr baseColWidth="10" defaultColWidth="8.83203125" defaultRowHeight="15"/>
  <sheetData/>
  <phoneticPr fontId="7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9"/>
  </sheetPr>
  <dimension ref="B2:BP180"/>
  <sheetViews>
    <sheetView showGridLines="0" zoomScale="93" zoomScaleNormal="75" zoomScalePageLayoutView="75" workbookViewId="0">
      <pane xSplit="4" ySplit="3" topLeftCell="I4" activePane="bottomRight" state="frozen"/>
      <selection pane="topRight" activeCell="E1" sqref="E1"/>
      <selection pane="bottomLeft" activeCell="A4" sqref="A4"/>
      <selection pane="bottomRight" activeCell="AH5" sqref="AH5"/>
    </sheetView>
  </sheetViews>
  <sheetFormatPr baseColWidth="10" defaultColWidth="8.83203125" defaultRowHeight="15" outlineLevelRow="1" outlineLevelCol="1"/>
  <cols>
    <col min="1" max="1" width="2" customWidth="1"/>
    <col min="2" max="2" width="1.83203125" customWidth="1"/>
    <col min="3" max="3" width="1.5" customWidth="1"/>
    <col min="4" max="4" width="47.33203125" customWidth="1"/>
    <col min="5" max="6" width="12.5" style="77" hidden="1" customWidth="1" outlineLevel="1"/>
    <col min="7" max="7" width="12" style="77" hidden="1" customWidth="1" outlineLevel="1"/>
    <col min="8" max="8" width="12.5" style="77" hidden="1" customWidth="1" outlineLevel="1"/>
    <col min="9" max="9" width="12.6640625" style="363" customWidth="1" collapsed="1"/>
    <col min="10" max="10" width="12.5" style="77" hidden="1" customWidth="1" outlineLevel="1"/>
    <col min="11" max="11" width="13" style="77" hidden="1" customWidth="1" outlineLevel="1"/>
    <col min="12" max="12" width="12.83203125" style="77" hidden="1" customWidth="1" outlineLevel="1"/>
    <col min="13" max="13" width="12.1640625" style="77" hidden="1" customWidth="1" outlineLevel="1"/>
    <col min="14" max="14" width="12.83203125" style="165" customWidth="1" collapsed="1"/>
    <col min="15" max="16" width="12.6640625" style="77" hidden="1" customWidth="1" outlineLevel="1"/>
    <col min="17" max="17" width="12" style="77" hidden="1" customWidth="1" outlineLevel="1"/>
    <col min="18" max="18" width="12.1640625" style="77" hidden="1" customWidth="1" outlineLevel="1"/>
    <col min="19" max="19" width="12.83203125" style="363" customWidth="1" collapsed="1"/>
    <col min="20" max="20" width="12" style="77" hidden="1" customWidth="1" outlineLevel="1"/>
    <col min="21" max="21" width="12.5" style="77" hidden="1" customWidth="1" outlineLevel="1"/>
    <col min="22" max="23" width="12" style="77" hidden="1" customWidth="1" outlineLevel="1"/>
    <col min="24" max="24" width="12" style="77" bestFit="1" customWidth="1" collapsed="1"/>
    <col min="25" max="25" width="12.33203125" style="77" hidden="1" customWidth="1" outlineLevel="1"/>
    <col min="26" max="26" width="12.6640625" style="77" hidden="1" customWidth="1" outlineLevel="1"/>
    <col min="27" max="27" width="13.1640625" style="77" hidden="1" customWidth="1" outlineLevel="1"/>
    <col min="28" max="28" width="12" style="77" hidden="1" customWidth="1" outlineLevel="1"/>
    <col min="29" max="29" width="12" style="77" customWidth="1" collapsed="1"/>
    <col min="30" max="30" width="12.33203125" style="77" hidden="1" customWidth="1" outlineLevel="1"/>
    <col min="31" max="31" width="12" style="77" hidden="1" customWidth="1" outlineLevel="1"/>
    <col min="32" max="32" width="13.1640625" style="77" hidden="1" customWidth="1" outlineLevel="1"/>
    <col min="33" max="33" width="12.1640625" style="77" hidden="1" customWidth="1" outlineLevel="1"/>
    <col min="34" max="34" width="13" style="77" customWidth="1" collapsed="1"/>
    <col min="35" max="35" width="12" style="77" hidden="1" customWidth="1" outlineLevel="1"/>
    <col min="36" max="36" width="12.5" style="77" hidden="1" customWidth="1" outlineLevel="1"/>
    <col min="37" max="37" width="12.83203125" style="77" hidden="1" customWidth="1" outlineLevel="1"/>
    <col min="38" max="38" width="13.5" style="77" hidden="1" customWidth="1" outlineLevel="1"/>
    <col min="39" max="39" width="12" style="77" customWidth="1" collapsed="1"/>
    <col min="40" max="40" width="12.33203125" style="77" hidden="1" customWidth="1" outlineLevel="1"/>
    <col min="41" max="41" width="12.83203125" style="77" hidden="1" customWidth="1" outlineLevel="1"/>
    <col min="42" max="42" width="13.1640625" style="77" hidden="1" customWidth="1" outlineLevel="1"/>
    <col min="43" max="43" width="12.83203125" style="77" hidden="1" customWidth="1" outlineLevel="1"/>
    <col min="44" max="44" width="12.83203125" style="77" customWidth="1" collapsed="1"/>
    <col min="45" max="45" width="12.83203125" style="77" hidden="1" customWidth="1" outlineLevel="1"/>
    <col min="46" max="46" width="12.5" style="77" hidden="1" customWidth="1" outlineLevel="1"/>
    <col min="47" max="47" width="12" style="77" hidden="1" customWidth="1" outlineLevel="1"/>
    <col min="48" max="48" width="13.5" style="77" hidden="1" customWidth="1" outlineLevel="1"/>
    <col min="49" max="49" width="12.5" style="77" customWidth="1" collapsed="1"/>
  </cols>
  <sheetData>
    <row r="2" spans="2:68" ht="44.25" customHeight="1">
      <c r="E2" s="531" t="s">
        <v>37</v>
      </c>
      <c r="F2" s="531"/>
      <c r="G2" s="531"/>
      <c r="H2" s="531"/>
      <c r="J2" s="531" t="s">
        <v>38</v>
      </c>
      <c r="K2" s="531"/>
      <c r="L2" s="531"/>
      <c r="M2" s="531"/>
      <c r="O2" s="531" t="s">
        <v>39</v>
      </c>
      <c r="P2" s="531"/>
      <c r="Q2" s="531"/>
      <c r="R2" s="531"/>
      <c r="T2" s="531" t="s">
        <v>40</v>
      </c>
      <c r="U2" s="531"/>
      <c r="V2" s="531"/>
      <c r="W2" s="531"/>
      <c r="Y2" s="531" t="s">
        <v>41</v>
      </c>
      <c r="Z2" s="531"/>
      <c r="AA2" s="531"/>
      <c r="AB2" s="531"/>
      <c r="AD2" s="530" t="s">
        <v>44</v>
      </c>
      <c r="AE2" s="530"/>
      <c r="AF2" s="530"/>
      <c r="AG2" s="530"/>
      <c r="AI2" s="530" t="s">
        <v>43</v>
      </c>
      <c r="AJ2" s="530"/>
      <c r="AK2" s="530"/>
      <c r="AL2" s="530"/>
      <c r="AN2" s="530" t="s">
        <v>42</v>
      </c>
      <c r="AO2" s="530"/>
      <c r="AP2" s="530"/>
      <c r="AQ2" s="530"/>
      <c r="AS2" s="530" t="s">
        <v>45</v>
      </c>
      <c r="AT2" s="530"/>
      <c r="AU2" s="530"/>
      <c r="AV2" s="530"/>
    </row>
    <row r="3" spans="2:68">
      <c r="E3" s="35" t="s">
        <v>1</v>
      </c>
      <c r="F3" s="35" t="s">
        <v>2</v>
      </c>
      <c r="G3" s="35" t="s">
        <v>3</v>
      </c>
      <c r="H3" s="35" t="s">
        <v>4</v>
      </c>
      <c r="I3" s="364">
        <v>2014</v>
      </c>
      <c r="J3" s="35" t="s">
        <v>5</v>
      </c>
      <c r="K3" s="35" t="s">
        <v>7</v>
      </c>
      <c r="L3" s="35" t="s">
        <v>6</v>
      </c>
      <c r="M3" s="35" t="s">
        <v>8</v>
      </c>
      <c r="N3" s="373">
        <v>2015</v>
      </c>
      <c r="O3" s="35" t="s">
        <v>9</v>
      </c>
      <c r="P3" s="35" t="s">
        <v>10</v>
      </c>
      <c r="Q3" s="35" t="s">
        <v>11</v>
      </c>
      <c r="R3" s="35" t="s">
        <v>12</v>
      </c>
      <c r="S3" s="364">
        <v>2016</v>
      </c>
      <c r="T3" s="35" t="s">
        <v>13</v>
      </c>
      <c r="U3" s="35" t="s">
        <v>14</v>
      </c>
      <c r="V3" s="35" t="s">
        <v>15</v>
      </c>
      <c r="W3" s="35" t="s">
        <v>16</v>
      </c>
      <c r="X3" s="48">
        <v>2017</v>
      </c>
      <c r="Y3" s="35" t="s">
        <v>17</v>
      </c>
      <c r="Z3" s="35" t="s">
        <v>18</v>
      </c>
      <c r="AA3" s="35" t="s">
        <v>19</v>
      </c>
      <c r="AB3" s="35" t="s">
        <v>20</v>
      </c>
      <c r="AC3" s="48">
        <v>2018</v>
      </c>
      <c r="AD3" s="35" t="s">
        <v>21</v>
      </c>
      <c r="AE3" s="35" t="s">
        <v>22</v>
      </c>
      <c r="AF3" s="35" t="s">
        <v>23</v>
      </c>
      <c r="AG3" s="35" t="s">
        <v>24</v>
      </c>
      <c r="AH3" s="48">
        <v>2019</v>
      </c>
      <c r="AI3" s="35" t="s">
        <v>25</v>
      </c>
      <c r="AJ3" s="35" t="s">
        <v>26</v>
      </c>
      <c r="AK3" s="35" t="s">
        <v>27</v>
      </c>
      <c r="AL3" s="35" t="s">
        <v>28</v>
      </c>
      <c r="AM3" s="48">
        <v>2020</v>
      </c>
      <c r="AN3" s="35" t="s">
        <v>29</v>
      </c>
      <c r="AO3" s="35" t="s">
        <v>30</v>
      </c>
      <c r="AP3" s="35" t="s">
        <v>31</v>
      </c>
      <c r="AQ3" s="35" t="s">
        <v>32</v>
      </c>
      <c r="AR3" s="48">
        <v>2021</v>
      </c>
      <c r="AS3" s="35" t="s">
        <v>33</v>
      </c>
      <c r="AT3" s="35" t="s">
        <v>34</v>
      </c>
      <c r="AU3" s="35" t="s">
        <v>35</v>
      </c>
      <c r="AV3" s="35" t="s">
        <v>36</v>
      </c>
      <c r="AW3" s="48">
        <v>2022</v>
      </c>
    </row>
    <row r="4" spans="2:68">
      <c r="B4" s="143"/>
      <c r="C4" s="143"/>
      <c r="D4" s="144" t="s">
        <v>0</v>
      </c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AQ4" s="145"/>
      <c r="AR4" s="145"/>
      <c r="AS4" s="145"/>
      <c r="AT4" s="145"/>
      <c r="AU4" s="145"/>
      <c r="AV4" s="145"/>
      <c r="AW4" s="145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</row>
    <row r="5" spans="2:68" s="71" customFormat="1">
      <c r="B5" s="146"/>
      <c r="C5" s="146"/>
      <c r="D5" s="146" t="s">
        <v>75</v>
      </c>
      <c r="E5" s="314">
        <f>E77</f>
        <v>7025054</v>
      </c>
      <c r="F5" s="314">
        <f t="shared" ref="F5:H5" si="0">F77</f>
        <v>6642745</v>
      </c>
      <c r="G5" s="314">
        <f t="shared" si="0"/>
        <v>6528517</v>
      </c>
      <c r="H5" s="314">
        <f t="shared" si="0"/>
        <v>7025054</v>
      </c>
      <c r="I5" s="313">
        <f>SUM(E5:H5)</f>
        <v>27221370</v>
      </c>
      <c r="J5" s="314">
        <f>J77</f>
        <v>5951600</v>
      </c>
      <c r="K5" s="314">
        <f t="shared" ref="K5:M5" si="1">K77</f>
        <v>5566248</v>
      </c>
      <c r="L5" s="314">
        <f t="shared" si="1"/>
        <v>6316762</v>
      </c>
      <c r="M5" s="314">
        <f t="shared" si="1"/>
        <v>6763177</v>
      </c>
      <c r="N5" s="313">
        <f>SUM(J5:M5)</f>
        <v>24597787</v>
      </c>
      <c r="O5" s="314">
        <f>O77</f>
        <v>5772698</v>
      </c>
      <c r="P5" s="314">
        <f t="shared" ref="P5:R5" si="2">P77</f>
        <v>5876813</v>
      </c>
      <c r="Q5" s="314">
        <f t="shared" si="2"/>
        <v>6008525</v>
      </c>
      <c r="R5" s="314">
        <f t="shared" si="2"/>
        <v>6114999</v>
      </c>
      <c r="S5" s="313">
        <f>SUM(O5:R5)</f>
        <v>23773035</v>
      </c>
      <c r="T5" s="314">
        <f>T77</f>
        <v>5862597</v>
      </c>
      <c r="U5" s="314">
        <f t="shared" ref="U5:V5" si="3">U77</f>
        <v>6008272</v>
      </c>
      <c r="V5" s="314">
        <f t="shared" si="3"/>
        <v>6270420</v>
      </c>
      <c r="W5" s="387">
        <f>W49</f>
        <v>6556799.9999999991</v>
      </c>
      <c r="X5" s="379">
        <f>SUM(T5:W5)</f>
        <v>24698089</v>
      </c>
      <c r="Y5" s="387">
        <f>Y49</f>
        <v>6140576.2665448133</v>
      </c>
      <c r="Z5" s="387">
        <f t="shared" ref="Z5:AB5" si="4">Z49</f>
        <v>6345947.6241089338</v>
      </c>
      <c r="AA5" s="387">
        <f t="shared" si="4"/>
        <v>6679125.0754146865</v>
      </c>
      <c r="AB5" s="387">
        <f t="shared" si="4"/>
        <v>6995312.8743116641</v>
      </c>
      <c r="AC5" s="379">
        <f>SUM(Y5:AB5)</f>
        <v>26160961.840380099</v>
      </c>
      <c r="AD5" s="387">
        <f>AD49</f>
        <v>6454356.0081007853</v>
      </c>
      <c r="AE5" s="387">
        <f t="shared" ref="AE5:AG5" si="5">AE49</f>
        <v>6726070.3103388511</v>
      </c>
      <c r="AF5" s="387">
        <f t="shared" si="5"/>
        <v>7139099.6853711484</v>
      </c>
      <c r="AG5" s="387">
        <f t="shared" si="5"/>
        <v>7487203.9901489327</v>
      </c>
      <c r="AH5" s="379">
        <f>SUM(AD5:AG5)</f>
        <v>27806729.993959717</v>
      </c>
      <c r="AI5" s="387">
        <f>AI49</f>
        <v>6793120.4603351597</v>
      </c>
      <c r="AJ5" s="387">
        <f t="shared" ref="AJ5:AL5" si="6">AJ49</f>
        <v>7136751.841397143</v>
      </c>
      <c r="AK5" s="387">
        <f t="shared" si="6"/>
        <v>7638469.7593175601</v>
      </c>
      <c r="AL5" s="387">
        <f t="shared" si="6"/>
        <v>8021080.1367664142</v>
      </c>
      <c r="AM5" s="379">
        <f>SUM(AI5:AL5)</f>
        <v>29589422.197816279</v>
      </c>
      <c r="AN5" s="387">
        <f>AN49</f>
        <v>7147607.770558415</v>
      </c>
      <c r="AO5" s="387">
        <f t="shared" ref="AO5:AQ5" si="7">AO49</f>
        <v>7568010.0579911945</v>
      </c>
      <c r="AP5" s="387">
        <f t="shared" si="7"/>
        <v>8166776.2420221586</v>
      </c>
      <c r="AQ5" s="387">
        <f t="shared" si="7"/>
        <v>8586344.0159160215</v>
      </c>
      <c r="AR5" s="379">
        <f>SUM(AN5:AQ5)</f>
        <v>31468738.086487785</v>
      </c>
      <c r="AS5" s="387">
        <f>AS49</f>
        <v>7510159.8088597311</v>
      </c>
      <c r="AT5" s="387">
        <f t="shared" ref="AT5:AV5" si="8">AT49</f>
        <v>8011259.4959338205</v>
      </c>
      <c r="AU5" s="387">
        <f t="shared" si="8"/>
        <v>8714487.6625214349</v>
      </c>
      <c r="AV5" s="387">
        <f t="shared" si="8"/>
        <v>9173178.9493300952</v>
      </c>
      <c r="AW5" s="379">
        <f>SUM(AS5:AV5)</f>
        <v>33409085.916645084</v>
      </c>
      <c r="AX5" s="146"/>
      <c r="AY5" s="146"/>
      <c r="AZ5" s="146"/>
      <c r="BA5" s="146"/>
      <c r="BB5" s="146"/>
      <c r="BC5" s="146"/>
      <c r="BD5" s="146"/>
      <c r="BE5" s="146"/>
      <c r="BF5" s="146"/>
      <c r="BG5" s="146"/>
      <c r="BH5" s="146"/>
      <c r="BI5" s="146"/>
      <c r="BJ5" s="146"/>
      <c r="BK5" s="146"/>
      <c r="BL5" s="146"/>
      <c r="BM5" s="146"/>
      <c r="BN5" s="146"/>
      <c r="BO5" s="146"/>
      <c r="BP5" s="146"/>
    </row>
    <row r="6" spans="2:68" s="4" customFormat="1">
      <c r="B6" s="150"/>
      <c r="C6" s="150"/>
      <c r="D6" s="150" t="s">
        <v>76</v>
      </c>
      <c r="E6" s="528">
        <f t="shared" ref="E6:H6" si="9">E78</f>
        <v>6616397</v>
      </c>
      <c r="F6" s="528">
        <f t="shared" si="9"/>
        <v>6261960</v>
      </c>
      <c r="G6" s="528">
        <f t="shared" si="9"/>
        <v>6151436</v>
      </c>
      <c r="H6" s="528">
        <f t="shared" si="9"/>
        <v>6616397</v>
      </c>
      <c r="I6" s="365">
        <f>SUM(E6:H6)</f>
        <v>25646190</v>
      </c>
      <c r="J6" s="528">
        <f t="shared" ref="J6:M6" si="10">J78</f>
        <v>5572783</v>
      </c>
      <c r="K6" s="528">
        <f t="shared" si="10"/>
        <v>5213907</v>
      </c>
      <c r="L6" s="528">
        <f t="shared" si="10"/>
        <v>5919846</v>
      </c>
      <c r="M6" s="528">
        <f t="shared" si="10"/>
        <v>6310710</v>
      </c>
      <c r="N6" s="365">
        <f>SUM(J6:M6)</f>
        <v>23017246</v>
      </c>
      <c r="O6" s="528">
        <f t="shared" ref="O6:R6" si="11">O78</f>
        <v>5366361</v>
      </c>
      <c r="P6" s="528">
        <f t="shared" si="11"/>
        <v>5470818</v>
      </c>
      <c r="Q6" s="528">
        <f t="shared" si="11"/>
        <v>5694834</v>
      </c>
      <c r="R6" s="528">
        <f t="shared" si="11"/>
        <v>5698544</v>
      </c>
      <c r="S6" s="365">
        <f>SUM(O6:R6)</f>
        <v>22230557</v>
      </c>
      <c r="T6" s="528">
        <f t="shared" ref="T6:V6" si="12">T78</f>
        <v>5460827</v>
      </c>
      <c r="U6" s="528">
        <f t="shared" si="12"/>
        <v>5601340</v>
      </c>
      <c r="V6" s="528">
        <f t="shared" si="12"/>
        <v>5877095</v>
      </c>
      <c r="W6" s="395">
        <f>W5*(1-W65)</f>
        <v>6123728.834865517</v>
      </c>
      <c r="X6" s="394">
        <f>SUM(T6:W6)</f>
        <v>23062990.834865518</v>
      </c>
      <c r="Y6" s="395">
        <f>Y5*(1-Y65)</f>
        <v>5738150.5752990963</v>
      </c>
      <c r="Z6" s="395">
        <f t="shared" ref="Z6:AB6" si="13">Z5*(1-Z65)</f>
        <v>5930224.0547484197</v>
      </c>
      <c r="AA6" s="395">
        <f t="shared" si="13"/>
        <v>6241575.0228413185</v>
      </c>
      <c r="AB6" s="395">
        <f t="shared" si="13"/>
        <v>6537049.3321018051</v>
      </c>
      <c r="AC6" s="379">
        <f>SUM(Y6:AB6)</f>
        <v>24446998.984990641</v>
      </c>
      <c r="AD6" s="395">
        <f>AD5*(1-AD65)</f>
        <v>6031530.5962714683</v>
      </c>
      <c r="AE6" s="395">
        <f t="shared" ref="AE6" si="14">AE5*(1-AE65)</f>
        <v>6285444.8714271216</v>
      </c>
      <c r="AF6" s="395">
        <f t="shared" ref="AF6" si="15">AF5*(1-AF65)</f>
        <v>6671416.6569219893</v>
      </c>
      <c r="AG6" s="395">
        <f t="shared" ref="AG6" si="16">AG5*(1-AG65)</f>
        <v>6996716.6190445973</v>
      </c>
      <c r="AH6" s="379">
        <f>SUM(AD6:AG6)</f>
        <v>25985108.743665177</v>
      </c>
      <c r="AI6" s="395">
        <f>AI5*(1-AI65)</f>
        <v>6348102.5603862908</v>
      </c>
      <c r="AJ6" s="395">
        <f t="shared" ref="AJ6" si="17">AJ5*(1-AJ65)</f>
        <v>6669222.6204066938</v>
      </c>
      <c r="AK6" s="395">
        <f t="shared" ref="AK6" si="18">AK5*(1-AK65)</f>
        <v>7138072.9547911873</v>
      </c>
      <c r="AL6" s="395">
        <f t="shared" ref="AL6" si="19">AL5*(1-AL65)</f>
        <v>7495618.4938251879</v>
      </c>
      <c r="AM6" s="379">
        <f>SUM(AI6:AL6)</f>
        <v>27651016.629409358</v>
      </c>
      <c r="AN6" s="395">
        <f>AN5*(1-AN65)</f>
        <v>6679367.3767239759</v>
      </c>
      <c r="AO6" s="395">
        <f t="shared" ref="AO6" si="20">AO5*(1-AO65)</f>
        <v>7072229.0744999945</v>
      </c>
      <c r="AP6" s="395">
        <f t="shared" ref="AP6" si="21">AP5*(1-AP65)</f>
        <v>7631770.0348162139</v>
      </c>
      <c r="AQ6" s="395">
        <f t="shared" ref="AQ6" si="22">AQ5*(1-AQ65)</f>
        <v>8023851.8881063294</v>
      </c>
      <c r="AR6" s="379">
        <f>SUM(AN6:AQ6)</f>
        <v>29407218.374146514</v>
      </c>
      <c r="AS6" s="395">
        <f>AS5*(1-AS65)</f>
        <v>7018168.6001164289</v>
      </c>
      <c r="AT6" s="395">
        <f t="shared" ref="AT6" si="23">AT5*(1-AT65)</f>
        <v>7486441.2040099939</v>
      </c>
      <c r="AU6" s="395">
        <f t="shared" ref="AU6" si="24">AU5*(1-AU65)</f>
        <v>8143600.8335082075</v>
      </c>
      <c r="AV6" s="395">
        <f t="shared" ref="AV6" si="25">AV5*(1-AV65)</f>
        <v>8572243.2150497939</v>
      </c>
      <c r="AW6" s="379">
        <f>SUM(AS6:AV6)</f>
        <v>31220453.852684423</v>
      </c>
      <c r="AX6" s="150"/>
      <c r="AY6" s="150"/>
      <c r="AZ6" s="150"/>
      <c r="BA6" s="150"/>
      <c r="BB6" s="150"/>
      <c r="BC6" s="150"/>
      <c r="BD6" s="150"/>
      <c r="BE6" s="150"/>
      <c r="BF6" s="150"/>
      <c r="BG6" s="150"/>
      <c r="BH6" s="150"/>
      <c r="BI6" s="150"/>
      <c r="BJ6" s="150"/>
      <c r="BK6" s="150"/>
      <c r="BL6" s="150"/>
      <c r="BM6" s="150"/>
      <c r="BN6" s="150"/>
      <c r="BO6" s="150"/>
      <c r="BP6" s="150"/>
    </row>
    <row r="7" spans="2:68">
      <c r="B7" s="143"/>
      <c r="C7" s="143"/>
      <c r="D7" s="143" t="s">
        <v>89</v>
      </c>
      <c r="E7" s="151" t="str">
        <f t="shared" ref="E7:H7" si="26">E79</f>
        <v>-</v>
      </c>
      <c r="F7" s="151" t="str">
        <f t="shared" si="26"/>
        <v>-</v>
      </c>
      <c r="G7" s="151" t="str">
        <f t="shared" si="26"/>
        <v>-</v>
      </c>
      <c r="H7" s="151" t="str">
        <f t="shared" si="26"/>
        <v>-</v>
      </c>
      <c r="I7" s="321" t="s">
        <v>74</v>
      </c>
      <c r="J7" s="151" t="str">
        <f t="shared" ref="J7:M7" si="27">J79</f>
        <v>-</v>
      </c>
      <c r="K7" s="151" t="str">
        <f t="shared" si="27"/>
        <v>-</v>
      </c>
      <c r="L7" s="151" t="str">
        <f t="shared" si="27"/>
        <v>-</v>
      </c>
      <c r="M7" s="151" t="str">
        <f t="shared" si="27"/>
        <v>-</v>
      </c>
      <c r="N7" s="321" t="s">
        <v>74</v>
      </c>
      <c r="O7" s="151" t="str">
        <f t="shared" ref="O7:R7" si="28">O79</f>
        <v>-</v>
      </c>
      <c r="P7" s="151" t="str">
        <f t="shared" si="28"/>
        <v>-</v>
      </c>
      <c r="Q7" s="151" t="str">
        <f t="shared" si="28"/>
        <v>-</v>
      </c>
      <c r="R7" s="151" t="str">
        <f t="shared" si="28"/>
        <v>-</v>
      </c>
      <c r="S7" s="321" t="s">
        <v>74</v>
      </c>
      <c r="T7" s="151">
        <f t="shared" ref="T7:V7" si="29">T79</f>
        <v>16966</v>
      </c>
      <c r="U7" s="151" t="str">
        <f t="shared" si="29"/>
        <v>-</v>
      </c>
      <c r="V7" s="151" t="str">
        <f t="shared" si="29"/>
        <v>-</v>
      </c>
      <c r="W7" s="324" t="s">
        <v>74</v>
      </c>
      <c r="X7" s="326" t="s">
        <v>74</v>
      </c>
      <c r="Y7" s="151" t="s">
        <v>74</v>
      </c>
      <c r="Z7" s="151" t="s">
        <v>74</v>
      </c>
      <c r="AA7" s="151" t="s">
        <v>74</v>
      </c>
      <c r="AB7" s="151" t="s">
        <v>74</v>
      </c>
      <c r="AC7" s="152" t="s">
        <v>74</v>
      </c>
      <c r="AD7" s="151" t="s">
        <v>74</v>
      </c>
      <c r="AE7" s="151" t="s">
        <v>74</v>
      </c>
      <c r="AF7" s="151" t="s">
        <v>74</v>
      </c>
      <c r="AG7" s="151" t="s">
        <v>74</v>
      </c>
      <c r="AH7" s="152" t="s">
        <v>74</v>
      </c>
      <c r="AI7" s="151" t="s">
        <v>74</v>
      </c>
      <c r="AJ7" s="151" t="s">
        <v>74</v>
      </c>
      <c r="AK7" s="151" t="s">
        <v>74</v>
      </c>
      <c r="AL7" s="151" t="s">
        <v>74</v>
      </c>
      <c r="AM7" s="152" t="s">
        <v>74</v>
      </c>
      <c r="AN7" s="151" t="s">
        <v>74</v>
      </c>
      <c r="AO7" s="151" t="s">
        <v>74</v>
      </c>
      <c r="AP7" s="151" t="s">
        <v>74</v>
      </c>
      <c r="AQ7" s="151" t="s">
        <v>74</v>
      </c>
      <c r="AR7" s="152" t="s">
        <v>74</v>
      </c>
      <c r="AS7" s="151" t="s">
        <v>74</v>
      </c>
      <c r="AT7" s="151" t="s">
        <v>74</v>
      </c>
      <c r="AU7" s="151" t="s">
        <v>74</v>
      </c>
      <c r="AV7" s="151" t="s">
        <v>74</v>
      </c>
      <c r="AW7" s="152" t="s">
        <v>74</v>
      </c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</row>
    <row r="8" spans="2:68" s="71" customFormat="1">
      <c r="B8" s="146"/>
      <c r="C8" s="146"/>
      <c r="D8" s="153" t="s">
        <v>77</v>
      </c>
      <c r="E8" s="529">
        <f t="shared" ref="E8:H8" si="30">E80</f>
        <v>408657</v>
      </c>
      <c r="F8" s="529">
        <f t="shared" si="30"/>
        <v>380785</v>
      </c>
      <c r="G8" s="529">
        <f t="shared" si="30"/>
        <v>377081</v>
      </c>
      <c r="H8" s="529">
        <f t="shared" si="30"/>
        <v>408657</v>
      </c>
      <c r="I8" s="318">
        <f>SUM(E8:H8)</f>
        <v>1575180</v>
      </c>
      <c r="J8" s="529">
        <f t="shared" ref="J8:M8" si="31">J80</f>
        <v>378817</v>
      </c>
      <c r="K8" s="529">
        <f t="shared" si="31"/>
        <v>352341</v>
      </c>
      <c r="L8" s="529">
        <f t="shared" si="31"/>
        <v>396916</v>
      </c>
      <c r="M8" s="529">
        <f t="shared" si="31"/>
        <v>452467</v>
      </c>
      <c r="N8" s="318">
        <f>SUM(J8:M8)</f>
        <v>1580541</v>
      </c>
      <c r="O8" s="529">
        <f t="shared" ref="O8:R8" si="32">O80</f>
        <v>406337</v>
      </c>
      <c r="P8" s="529">
        <f t="shared" si="32"/>
        <v>405995</v>
      </c>
      <c r="Q8" s="529">
        <f t="shared" si="32"/>
        <v>313691</v>
      </c>
      <c r="R8" s="529">
        <f t="shared" si="32"/>
        <v>416455</v>
      </c>
      <c r="S8" s="318">
        <f>SUM(O8:R8)</f>
        <v>1542478</v>
      </c>
      <c r="T8" s="529">
        <f t="shared" ref="T8:V8" si="33">T80</f>
        <v>384804</v>
      </c>
      <c r="U8" s="529">
        <f t="shared" si="33"/>
        <v>406932</v>
      </c>
      <c r="V8" s="529">
        <f t="shared" si="33"/>
        <v>393325</v>
      </c>
      <c r="W8" s="330">
        <f>W5-W6</f>
        <v>433071.16513448209</v>
      </c>
      <c r="X8" s="388">
        <f t="shared" ref="X8:Y8" si="34">X5-X6</f>
        <v>1635098.1651344821</v>
      </c>
      <c r="Y8" s="348">
        <f t="shared" si="34"/>
        <v>402425.691245717</v>
      </c>
      <c r="Z8" s="348">
        <f t="shared" ref="Z8:AD8" si="35">Z5-Z6</f>
        <v>415723.56936051417</v>
      </c>
      <c r="AA8" s="348">
        <f t="shared" si="35"/>
        <v>437550.05257336795</v>
      </c>
      <c r="AB8" s="348">
        <f t="shared" si="35"/>
        <v>458263.54220985901</v>
      </c>
      <c r="AC8" s="396">
        <f t="shared" si="35"/>
        <v>1713962.8553894572</v>
      </c>
      <c r="AD8" s="348">
        <f t="shared" si="35"/>
        <v>422825.41182931699</v>
      </c>
      <c r="AE8" s="348">
        <f t="shared" ref="AE8:AI8" si="36">AE5-AE6</f>
        <v>440625.43891172949</v>
      </c>
      <c r="AF8" s="348">
        <f t="shared" si="36"/>
        <v>467683.02844915912</v>
      </c>
      <c r="AG8" s="348">
        <f t="shared" si="36"/>
        <v>490487.37110433541</v>
      </c>
      <c r="AH8" s="396">
        <f>AH5-AH6</f>
        <v>1821621.2502945401</v>
      </c>
      <c r="AI8" s="348">
        <f t="shared" si="36"/>
        <v>445017.8999488689</v>
      </c>
      <c r="AJ8" s="348">
        <f t="shared" ref="AJ8:AN8" si="37">AJ5-AJ6</f>
        <v>467529.22099044919</v>
      </c>
      <c r="AK8" s="348">
        <f t="shared" si="37"/>
        <v>500396.80452637281</v>
      </c>
      <c r="AL8" s="348">
        <f t="shared" si="37"/>
        <v>525461.64294122625</v>
      </c>
      <c r="AM8" s="396">
        <f t="shared" si="37"/>
        <v>1938405.5684069209</v>
      </c>
      <c r="AN8" s="348">
        <f t="shared" si="37"/>
        <v>468240.39383443911</v>
      </c>
      <c r="AO8" s="348">
        <f t="shared" ref="AO8:AS8" si="38">AO5-AO6</f>
        <v>495780.98349120002</v>
      </c>
      <c r="AP8" s="348">
        <f t="shared" si="38"/>
        <v>535006.20720594469</v>
      </c>
      <c r="AQ8" s="348">
        <f t="shared" si="38"/>
        <v>562492.12780969217</v>
      </c>
      <c r="AR8" s="396">
        <f t="shared" si="38"/>
        <v>2061519.7123412713</v>
      </c>
      <c r="AS8" s="348">
        <f t="shared" si="38"/>
        <v>491991.20874330215</v>
      </c>
      <c r="AT8" s="348">
        <f t="shared" ref="AT8:AW8" si="39">AT5-AT6</f>
        <v>524818.29192382656</v>
      </c>
      <c r="AU8" s="348">
        <f t="shared" si="39"/>
        <v>570886.82901322749</v>
      </c>
      <c r="AV8" s="348">
        <f t="shared" si="39"/>
        <v>600935.73428030126</v>
      </c>
      <c r="AW8" s="396">
        <f t="shared" si="39"/>
        <v>2188632.0639606602</v>
      </c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</row>
    <row r="9" spans="2:68">
      <c r="B9" s="143"/>
      <c r="C9" s="143"/>
      <c r="D9" s="143"/>
      <c r="E9" s="151"/>
      <c r="F9" s="151"/>
      <c r="G9" s="151"/>
      <c r="H9" s="151"/>
      <c r="I9" s="321"/>
      <c r="J9" s="151"/>
      <c r="K9" s="151"/>
      <c r="L9" s="151"/>
      <c r="M9" s="151"/>
      <c r="N9" s="321"/>
      <c r="O9" s="151"/>
      <c r="P9" s="151"/>
      <c r="Q9" s="151"/>
      <c r="R9" s="151"/>
      <c r="S9" s="321"/>
      <c r="T9" s="151"/>
      <c r="U9" s="151"/>
      <c r="V9" s="151"/>
      <c r="W9" s="324"/>
      <c r="X9" s="326"/>
      <c r="Y9" s="154"/>
      <c r="Z9" s="154"/>
      <c r="AA9" s="154"/>
      <c r="AB9" s="154"/>
      <c r="AC9" s="159"/>
      <c r="AD9" s="154"/>
      <c r="AE9" s="154"/>
      <c r="AF9" s="154"/>
      <c r="AG9" s="154"/>
      <c r="AH9" s="159"/>
      <c r="AI9" s="154"/>
      <c r="AJ9" s="154"/>
      <c r="AK9" s="154"/>
      <c r="AL9" s="154"/>
      <c r="AM9" s="159"/>
      <c r="AN9" s="154"/>
      <c r="AO9" s="154"/>
      <c r="AP9" s="154"/>
      <c r="AQ9" s="154"/>
      <c r="AR9" s="159"/>
      <c r="AS9" s="154"/>
      <c r="AT9" s="154"/>
      <c r="AU9" s="154"/>
      <c r="AV9" s="154"/>
      <c r="AW9" s="159"/>
      <c r="AX9" s="143"/>
      <c r="AY9" s="143"/>
      <c r="AZ9" s="143"/>
      <c r="BA9" s="143"/>
      <c r="BB9" s="143"/>
      <c r="BC9" s="143"/>
      <c r="BD9" s="143"/>
      <c r="BE9" s="143"/>
      <c r="BF9" s="143"/>
      <c r="BG9" s="143"/>
      <c r="BH9" s="143"/>
      <c r="BI9" s="143"/>
      <c r="BJ9" s="143"/>
      <c r="BK9" s="143"/>
      <c r="BL9" s="143"/>
      <c r="BM9" s="143"/>
      <c r="BN9" s="143"/>
      <c r="BO9" s="143"/>
      <c r="BP9" s="143"/>
    </row>
    <row r="10" spans="2:68" s="2" customFormat="1">
      <c r="B10" s="155"/>
      <c r="C10" s="155"/>
      <c r="D10" s="155" t="s">
        <v>78</v>
      </c>
      <c r="E10" s="316">
        <f t="shared" ref="E10:H10" si="40">E82</f>
        <v>215993</v>
      </c>
      <c r="F10" s="316">
        <f t="shared" si="40"/>
        <v>209277</v>
      </c>
      <c r="G10" s="316">
        <f t="shared" si="40"/>
        <v>204590</v>
      </c>
      <c r="H10" s="316">
        <f t="shared" si="40"/>
        <v>215993</v>
      </c>
      <c r="I10" s="313">
        <f>SUM(E10:H10)</f>
        <v>845853</v>
      </c>
      <c r="J10" s="316">
        <f t="shared" ref="J10:M10" si="41">J82</f>
        <v>214613</v>
      </c>
      <c r="K10" s="316">
        <f t="shared" si="41"/>
        <v>209385</v>
      </c>
      <c r="L10" s="316">
        <f t="shared" si="41"/>
        <v>216796</v>
      </c>
      <c r="M10" s="316">
        <f t="shared" si="41"/>
        <v>240617</v>
      </c>
      <c r="N10" s="313">
        <f>SUM(J10:M10)</f>
        <v>881411</v>
      </c>
      <c r="O10" s="316">
        <f t="shared" ref="O10:R10" si="42">O82</f>
        <v>288092</v>
      </c>
      <c r="P10" s="316">
        <f t="shared" si="42"/>
        <v>239546</v>
      </c>
      <c r="Q10" s="316">
        <f t="shared" si="42"/>
        <v>243943</v>
      </c>
      <c r="R10" s="316">
        <f t="shared" si="42"/>
        <v>231551</v>
      </c>
      <c r="S10" s="313">
        <f>SUM(O10:R10)</f>
        <v>1003132</v>
      </c>
      <c r="T10" s="316">
        <f t="shared" ref="T10:V10" si="43">T82</f>
        <v>229467</v>
      </c>
      <c r="U10" s="316">
        <f t="shared" si="43"/>
        <v>250811</v>
      </c>
      <c r="V10" s="316">
        <f t="shared" si="43"/>
        <v>274149</v>
      </c>
      <c r="W10" s="331">
        <f>W5*W73</f>
        <v>266324.421730773</v>
      </c>
      <c r="X10" s="381">
        <f>SUM(T10:W10)</f>
        <v>1020751.4217307731</v>
      </c>
      <c r="Y10" s="331">
        <f>Y5*Y73</f>
        <v>240347.34336254711</v>
      </c>
      <c r="Z10" s="331">
        <f t="shared" ref="Z10:AB10" si="44">Z5*Z73</f>
        <v>264907.02643794852</v>
      </c>
      <c r="AA10" s="331">
        <f t="shared" si="44"/>
        <v>292017.99246300262</v>
      </c>
      <c r="AB10" s="331">
        <f t="shared" si="44"/>
        <v>284135.95901611855</v>
      </c>
      <c r="AC10" s="381">
        <f>SUM(Y10:AB10)</f>
        <v>1081408.3212796168</v>
      </c>
      <c r="AD10" s="331">
        <f>AD5*AD73</f>
        <v>252628.947565535</v>
      </c>
      <c r="AE10" s="331">
        <f t="shared" ref="AE10:AG10" si="45">AE5*AE73</f>
        <v>280774.97500219656</v>
      </c>
      <c r="AF10" s="331">
        <f t="shared" si="45"/>
        <v>312128.53997735638</v>
      </c>
      <c r="AG10" s="331">
        <f t="shared" si="45"/>
        <v>304115.61631539033</v>
      </c>
      <c r="AH10" s="381">
        <f>SUM(AD10:AG10)</f>
        <v>1149648.0788604785</v>
      </c>
      <c r="AI10" s="331">
        <f>AI5*AI73</f>
        <v>265888.47445453407</v>
      </c>
      <c r="AJ10" s="331">
        <f t="shared" ref="AJ10:AL10" si="46">AJ5*AJ73</f>
        <v>297918.58059899067</v>
      </c>
      <c r="AK10" s="331">
        <f t="shared" si="46"/>
        <v>333961.49636661494</v>
      </c>
      <c r="AL10" s="331">
        <f t="shared" si="46"/>
        <v>325800.62363965734</v>
      </c>
      <c r="AM10" s="381">
        <f>SUM(AI10:AL10)</f>
        <v>1223569.175059797</v>
      </c>
      <c r="AN10" s="331">
        <f>AN5*AN73</f>
        <v>279763.40728976048</v>
      </c>
      <c r="AO10" s="331">
        <f t="shared" ref="AO10:AQ10" si="47">AO5*AO73</f>
        <v>315921.14515701507</v>
      </c>
      <c r="AP10" s="331">
        <f t="shared" si="47"/>
        <v>357059.5813317342</v>
      </c>
      <c r="AQ10" s="331">
        <f t="shared" si="47"/>
        <v>348760.53941256681</v>
      </c>
      <c r="AR10" s="381">
        <f>SUM(AN10:AQ10)</f>
        <v>1301504.6731910766</v>
      </c>
      <c r="AS10" s="331">
        <f>AS5*AS73</f>
        <v>293954.0003960047</v>
      </c>
      <c r="AT10" s="331">
        <f t="shared" ref="AT10:AV10" si="48">AT5*AT73</f>
        <v>334424.27463914041</v>
      </c>
      <c r="AU10" s="331">
        <f t="shared" si="48"/>
        <v>381006.06948060717</v>
      </c>
      <c r="AV10" s="331">
        <f t="shared" si="48"/>
        <v>372596.62931814877</v>
      </c>
      <c r="AW10" s="381">
        <f>SUM(AS10:AV10)</f>
        <v>1381980.9738339011</v>
      </c>
      <c r="AX10" s="155"/>
      <c r="AY10" s="155"/>
      <c r="AZ10" s="155"/>
      <c r="BA10" s="155"/>
      <c r="BB10" s="155"/>
      <c r="BC10" s="155"/>
      <c r="BD10" s="155"/>
      <c r="BE10" s="155"/>
      <c r="BF10" s="155"/>
      <c r="BG10" s="155"/>
      <c r="BH10" s="155"/>
      <c r="BI10" s="155"/>
      <c r="BJ10" s="155"/>
      <c r="BK10" s="155"/>
      <c r="BL10" s="155"/>
      <c r="BM10" s="155"/>
      <c r="BN10" s="155"/>
      <c r="BO10" s="155"/>
      <c r="BP10" s="155"/>
    </row>
    <row r="11" spans="2:68" s="2" customFormat="1">
      <c r="B11" s="155"/>
      <c r="C11" s="155"/>
      <c r="D11" s="155" t="s">
        <v>79</v>
      </c>
      <c r="E11" s="316">
        <f t="shared" ref="E11:H11" si="49">E83</f>
        <v>8045</v>
      </c>
      <c r="F11" s="316">
        <f t="shared" si="49"/>
        <v>6951</v>
      </c>
      <c r="G11" s="316">
        <f t="shared" si="49"/>
        <v>8232</v>
      </c>
      <c r="H11" s="316">
        <f t="shared" si="49"/>
        <v>8045</v>
      </c>
      <c r="I11" s="313">
        <f>SUM(E11:H11)</f>
        <v>31273</v>
      </c>
      <c r="J11" s="316">
        <f t="shared" ref="J11:M11" si="50">J83</f>
        <v>8807</v>
      </c>
      <c r="K11" s="316">
        <f t="shared" si="50"/>
        <v>7671</v>
      </c>
      <c r="L11" s="316">
        <f t="shared" si="50"/>
        <v>16127</v>
      </c>
      <c r="M11" s="316">
        <f t="shared" si="50"/>
        <v>19319</v>
      </c>
      <c r="N11" s="313">
        <f>SUM(J11:M11)</f>
        <v>51924</v>
      </c>
      <c r="O11" s="316">
        <f t="shared" ref="O11:R11" si="51">O83</f>
        <v>22848</v>
      </c>
      <c r="P11" s="316">
        <f t="shared" si="51"/>
        <v>21598</v>
      </c>
      <c r="Q11" s="316">
        <f t="shared" si="51"/>
        <v>21986</v>
      </c>
      <c r="R11" s="316">
        <f t="shared" si="51"/>
        <v>18734</v>
      </c>
      <c r="S11" s="313">
        <f>SUM(O11:R11)</f>
        <v>85166</v>
      </c>
      <c r="T11" s="316">
        <f t="shared" ref="T11:V11" si="52">T83</f>
        <v>19078</v>
      </c>
      <c r="U11" s="316">
        <f t="shared" si="52"/>
        <v>19901</v>
      </c>
      <c r="V11" s="316">
        <f t="shared" si="52"/>
        <v>16376</v>
      </c>
      <c r="W11" s="331">
        <f>W74*W5</f>
        <v>19420.89445936837</v>
      </c>
      <c r="X11" s="381">
        <f>SUM(T11:W11)</f>
        <v>74775.89445936837</v>
      </c>
      <c r="Y11" s="331">
        <f>Y74*Y5</f>
        <v>18188.061797259194</v>
      </c>
      <c r="Z11" s="331">
        <f t="shared" ref="Z11:AB11" si="53">Z74*Z5</f>
        <v>18796.36088526401</v>
      </c>
      <c r="AA11" s="331">
        <f t="shared" si="53"/>
        <v>19783.214856416154</v>
      </c>
      <c r="AB11" s="331">
        <f t="shared" si="53"/>
        <v>20719.746376626957</v>
      </c>
      <c r="AC11" s="381">
        <f>SUM(Y11:AB11)</f>
        <v>77487.383915566315</v>
      </c>
      <c r="AD11" s="331">
        <f>AD74*AD5</f>
        <v>19117.460779117177</v>
      </c>
      <c r="AE11" s="331">
        <f t="shared" ref="AE11:AG11" si="54">AE74*AE5</f>
        <v>19922.26415681154</v>
      </c>
      <c r="AF11" s="331">
        <f t="shared" si="54"/>
        <v>21145.635298392968</v>
      </c>
      <c r="AG11" s="331">
        <f t="shared" si="54"/>
        <v>22176.701819247828</v>
      </c>
      <c r="AH11" s="381">
        <f>SUM(AD11:AG11)</f>
        <v>82362.062053569505</v>
      </c>
      <c r="AI11" s="331">
        <f>AI74*AI5</f>
        <v>20120.863151223923</v>
      </c>
      <c r="AJ11" s="331">
        <f t="shared" ref="AJ11:AL11" si="55">AJ74*AJ5</f>
        <v>21138.681108845289</v>
      </c>
      <c r="AK11" s="331">
        <f t="shared" si="55"/>
        <v>22624.743018970115</v>
      </c>
      <c r="AL11" s="331">
        <f t="shared" si="55"/>
        <v>23758.014700200791</v>
      </c>
      <c r="AM11" s="381">
        <f>SUM(AI11:AL11)</f>
        <v>87642.301979240117</v>
      </c>
      <c r="AN11" s="331">
        <f>AN74*AN5</f>
        <v>21170.835796268948</v>
      </c>
      <c r="AO11" s="331">
        <f t="shared" ref="AO11:AQ11" si="56">AO74*AO5</f>
        <v>22416.045114032044</v>
      </c>
      <c r="AP11" s="331">
        <f t="shared" si="56"/>
        <v>24189.558850291207</v>
      </c>
      <c r="AQ11" s="331">
        <f t="shared" si="56"/>
        <v>25432.296383134188</v>
      </c>
      <c r="AR11" s="381">
        <f>SUM(AN11:AQ11)</f>
        <v>93208.73614372639</v>
      </c>
      <c r="AS11" s="331">
        <f>AS74*AS5</f>
        <v>22244.695738905408</v>
      </c>
      <c r="AT11" s="331">
        <f t="shared" ref="AT11:AV11" si="57">AT74*AT5</f>
        <v>23728.926481994782</v>
      </c>
      <c r="AU11" s="331">
        <f t="shared" si="57"/>
        <v>25811.851079992764</v>
      </c>
      <c r="AV11" s="331">
        <f t="shared" si="57"/>
        <v>27170.470386749545</v>
      </c>
      <c r="AW11" s="381">
        <f>SUM(AS11:AV11)</f>
        <v>98955.943687642488</v>
      </c>
      <c r="AX11" s="155"/>
      <c r="AY11" s="155"/>
      <c r="AZ11" s="155"/>
      <c r="BA11" s="155"/>
      <c r="BB11" s="155"/>
      <c r="BC11" s="155"/>
      <c r="BD11" s="155"/>
      <c r="BE11" s="155"/>
      <c r="BF11" s="155"/>
      <c r="BG11" s="155"/>
      <c r="BH11" s="155"/>
      <c r="BI11" s="155"/>
      <c r="BJ11" s="155"/>
      <c r="BK11" s="155"/>
      <c r="BL11" s="155"/>
      <c r="BM11" s="155"/>
      <c r="BN11" s="155"/>
      <c r="BO11" s="155"/>
      <c r="BP11" s="155"/>
    </row>
    <row r="12" spans="2:68">
      <c r="B12" s="143"/>
      <c r="C12" s="143"/>
      <c r="D12" s="143" t="s">
        <v>89</v>
      </c>
      <c r="E12" s="316" t="str">
        <f t="shared" ref="E12:H12" si="58">E84</f>
        <v>-</v>
      </c>
      <c r="F12" s="316" t="str">
        <f t="shared" si="58"/>
        <v>-</v>
      </c>
      <c r="G12" s="316" t="str">
        <f t="shared" si="58"/>
        <v>-</v>
      </c>
      <c r="H12" s="316" t="str">
        <f t="shared" si="58"/>
        <v>-</v>
      </c>
      <c r="I12" s="313" t="s">
        <v>74</v>
      </c>
      <c r="J12" s="316" t="str">
        <f t="shared" ref="J12:M12" si="59">J84</f>
        <v>-</v>
      </c>
      <c r="K12" s="316" t="str">
        <f t="shared" si="59"/>
        <v>-</v>
      </c>
      <c r="L12" s="316" t="str">
        <f t="shared" si="59"/>
        <v>-</v>
      </c>
      <c r="M12" s="316" t="str">
        <f t="shared" si="59"/>
        <v>-</v>
      </c>
      <c r="N12" s="313" t="s">
        <v>74</v>
      </c>
      <c r="O12" s="316" t="str">
        <f t="shared" ref="O12:R12" si="60">O84</f>
        <v>-</v>
      </c>
      <c r="P12" s="316" t="str">
        <f t="shared" si="60"/>
        <v>-</v>
      </c>
      <c r="Q12" s="316" t="str">
        <f t="shared" si="60"/>
        <v>-</v>
      </c>
      <c r="R12" s="316" t="str">
        <f t="shared" si="60"/>
        <v>-</v>
      </c>
      <c r="S12" s="313" t="s">
        <v>74</v>
      </c>
      <c r="T12" s="316">
        <f t="shared" ref="T12:V12" si="61">T84</f>
        <v>3469</v>
      </c>
      <c r="U12" s="316" t="str">
        <f t="shared" si="61"/>
        <v>-</v>
      </c>
      <c r="V12" s="316" t="str">
        <f t="shared" si="61"/>
        <v>-</v>
      </c>
      <c r="W12" s="324" t="s">
        <v>74</v>
      </c>
      <c r="X12" s="326" t="s">
        <v>74</v>
      </c>
      <c r="Y12" s="154" t="s">
        <v>74</v>
      </c>
      <c r="Z12" s="154" t="s">
        <v>74</v>
      </c>
      <c r="AA12" s="154" t="s">
        <v>74</v>
      </c>
      <c r="AB12" s="154" t="s">
        <v>74</v>
      </c>
      <c r="AC12" s="159" t="s">
        <v>74</v>
      </c>
      <c r="AD12" s="154" t="s">
        <v>74</v>
      </c>
      <c r="AE12" s="154" t="s">
        <v>74</v>
      </c>
      <c r="AF12" s="154" t="s">
        <v>74</v>
      </c>
      <c r="AG12" s="154" t="s">
        <v>74</v>
      </c>
      <c r="AH12" s="159" t="s">
        <v>74</v>
      </c>
      <c r="AI12" s="154" t="s">
        <v>74</v>
      </c>
      <c r="AJ12" s="154" t="s">
        <v>74</v>
      </c>
      <c r="AK12" s="154" t="s">
        <v>74</v>
      </c>
      <c r="AL12" s="154" t="s">
        <v>74</v>
      </c>
      <c r="AM12" s="159" t="s">
        <v>74</v>
      </c>
      <c r="AN12" s="154" t="s">
        <v>74</v>
      </c>
      <c r="AO12" s="154" t="s">
        <v>74</v>
      </c>
      <c r="AP12" s="154" t="s">
        <v>74</v>
      </c>
      <c r="AQ12" s="154" t="s">
        <v>74</v>
      </c>
      <c r="AR12" s="159" t="s">
        <v>74</v>
      </c>
      <c r="AS12" s="154" t="s">
        <v>74</v>
      </c>
      <c r="AT12" s="154" t="s">
        <v>74</v>
      </c>
      <c r="AU12" s="154" t="s">
        <v>74</v>
      </c>
      <c r="AV12" s="154" t="s">
        <v>74</v>
      </c>
      <c r="AW12" s="159" t="s">
        <v>74</v>
      </c>
      <c r="AX12" s="143"/>
      <c r="AY12" s="143"/>
      <c r="AZ12" s="143"/>
      <c r="BA12" s="143"/>
      <c r="BB12" s="143"/>
      <c r="BC12" s="143"/>
      <c r="BD12" s="143"/>
      <c r="BE12" s="143"/>
      <c r="BF12" s="143"/>
      <c r="BG12" s="143"/>
      <c r="BH12" s="143"/>
      <c r="BI12" s="143"/>
      <c r="BJ12" s="143"/>
      <c r="BK12" s="143"/>
      <c r="BL12" s="143"/>
      <c r="BM12" s="143"/>
      <c r="BN12" s="143"/>
      <c r="BO12" s="143"/>
      <c r="BP12" s="143"/>
    </row>
    <row r="13" spans="2:68" s="2" customFormat="1">
      <c r="B13" s="155"/>
      <c r="C13" s="155"/>
      <c r="D13" s="155" t="s">
        <v>80</v>
      </c>
      <c r="E13" s="316">
        <f t="shared" ref="E13:H13" si="62">E85</f>
        <v>9035</v>
      </c>
      <c r="F13" s="316">
        <f t="shared" si="62"/>
        <v>18637</v>
      </c>
      <c r="G13" s="316">
        <f t="shared" si="62"/>
        <v>12506</v>
      </c>
      <c r="H13" s="316">
        <f t="shared" si="62"/>
        <v>9035</v>
      </c>
      <c r="I13" s="313">
        <f>SUM(E13:H13)</f>
        <v>49213</v>
      </c>
      <c r="J13" s="316">
        <f t="shared" ref="J13:M13" si="63">J85</f>
        <v>11232</v>
      </c>
      <c r="K13" s="316">
        <f t="shared" si="63"/>
        <v>16505</v>
      </c>
      <c r="L13" s="316">
        <f t="shared" si="63"/>
        <v>22035</v>
      </c>
      <c r="M13" s="316">
        <f t="shared" si="63"/>
        <v>21566</v>
      </c>
      <c r="N13" s="313">
        <f>SUM(J13:M13)</f>
        <v>71338</v>
      </c>
      <c r="O13" s="316">
        <f t="shared" ref="O13:R13" si="64">O85</f>
        <v>24687</v>
      </c>
      <c r="P13" s="316">
        <f t="shared" si="64"/>
        <v>24399</v>
      </c>
      <c r="Q13" s="316">
        <f t="shared" si="64"/>
        <v>24632</v>
      </c>
      <c r="R13" s="316">
        <f t="shared" si="64"/>
        <v>22838</v>
      </c>
      <c r="S13" s="313">
        <f>SUM(O13:R13)</f>
        <v>96556</v>
      </c>
      <c r="T13" s="316">
        <f t="shared" ref="T13:V13" si="65">T85</f>
        <v>27663</v>
      </c>
      <c r="U13" s="316">
        <f t="shared" si="65"/>
        <v>26876</v>
      </c>
      <c r="V13" s="316">
        <f t="shared" si="65"/>
        <v>27554</v>
      </c>
      <c r="W13" s="328">
        <v>37500</v>
      </c>
      <c r="X13" s="381">
        <f>SUM(T13:W13)</f>
        <v>119593</v>
      </c>
      <c r="Y13" s="332">
        <f>W13</f>
        <v>37500</v>
      </c>
      <c r="Z13" s="332">
        <f>Y13</f>
        <v>37500</v>
      </c>
      <c r="AA13" s="332">
        <f>Z13</f>
        <v>37500</v>
      </c>
      <c r="AB13" s="332">
        <f>AA13</f>
        <v>37500</v>
      </c>
      <c r="AC13" s="381">
        <f>SUM(Y13:AB13)</f>
        <v>150000</v>
      </c>
      <c r="AD13" s="332">
        <f>AB13</f>
        <v>37500</v>
      </c>
      <c r="AE13" s="332">
        <f>AD13</f>
        <v>37500</v>
      </c>
      <c r="AF13" s="332">
        <f>AE13</f>
        <v>37500</v>
      </c>
      <c r="AG13" s="332">
        <f>AF13</f>
        <v>37500</v>
      </c>
      <c r="AH13" s="381">
        <f>SUM(AD13:AG13)</f>
        <v>150000</v>
      </c>
      <c r="AI13" s="332">
        <f>AG13</f>
        <v>37500</v>
      </c>
      <c r="AJ13" s="332">
        <f>AI13</f>
        <v>37500</v>
      </c>
      <c r="AK13" s="332">
        <f>AJ13</f>
        <v>37500</v>
      </c>
      <c r="AL13" s="332">
        <f>AK13</f>
        <v>37500</v>
      </c>
      <c r="AM13" s="381">
        <f>SUM(AI13:AL13)</f>
        <v>150000</v>
      </c>
      <c r="AN13" s="332">
        <f>AL13</f>
        <v>37500</v>
      </c>
      <c r="AO13" s="332">
        <f>AN13</f>
        <v>37500</v>
      </c>
      <c r="AP13" s="332">
        <f>AO13</f>
        <v>37500</v>
      </c>
      <c r="AQ13" s="332">
        <f>AP13</f>
        <v>37500</v>
      </c>
      <c r="AR13" s="381">
        <f>SUM(AN13:AQ13)</f>
        <v>150000</v>
      </c>
      <c r="AS13" s="332">
        <f>AQ13</f>
        <v>37500</v>
      </c>
      <c r="AT13" s="332">
        <f>AS13</f>
        <v>37500</v>
      </c>
      <c r="AU13" s="332">
        <f>AT13</f>
        <v>37500</v>
      </c>
      <c r="AV13" s="332">
        <f>AU13</f>
        <v>37500</v>
      </c>
      <c r="AW13" s="381">
        <f>SUM(AS13:AV13)</f>
        <v>150000</v>
      </c>
      <c r="AX13" s="155"/>
      <c r="AY13" s="155"/>
      <c r="AZ13" s="155"/>
      <c r="BA13" s="155"/>
      <c r="BB13" s="155"/>
      <c r="BC13" s="155"/>
      <c r="BD13" s="155"/>
      <c r="BE13" s="155"/>
      <c r="BF13" s="155"/>
      <c r="BG13" s="155"/>
      <c r="BH13" s="155"/>
      <c r="BI13" s="155"/>
      <c r="BJ13" s="155"/>
      <c r="BK13" s="155"/>
      <c r="BL13" s="155"/>
      <c r="BM13" s="155"/>
      <c r="BN13" s="155"/>
      <c r="BO13" s="155"/>
      <c r="BP13" s="155"/>
    </row>
    <row r="14" spans="2:68">
      <c r="B14" s="143"/>
      <c r="C14" s="143"/>
      <c r="D14" s="143" t="s">
        <v>81</v>
      </c>
      <c r="E14" s="316">
        <f t="shared" ref="E14:H14" si="66">E86</f>
        <v>5067</v>
      </c>
      <c r="F14" s="316">
        <f t="shared" si="66"/>
        <v>-44009</v>
      </c>
      <c r="G14" s="316">
        <f t="shared" si="66"/>
        <v>-2584</v>
      </c>
      <c r="H14" s="316">
        <f t="shared" si="66"/>
        <v>5067</v>
      </c>
      <c r="I14" s="313">
        <f t="shared" ref="I14:I15" si="67">SUM(E14:H14)</f>
        <v>-36459</v>
      </c>
      <c r="J14" s="316">
        <f t="shared" ref="J14:M14" si="68">J86</f>
        <v>-11707</v>
      </c>
      <c r="K14" s="316">
        <f t="shared" si="68"/>
        <v>164</v>
      </c>
      <c r="L14" s="316">
        <f t="shared" si="68"/>
        <v>1678</v>
      </c>
      <c r="M14" s="316">
        <f t="shared" si="68"/>
        <v>44415</v>
      </c>
      <c r="N14" s="313">
        <f t="shared" ref="N14:N15" si="69">SUM(J14:M14)</f>
        <v>34550</v>
      </c>
      <c r="O14" s="316">
        <f t="shared" ref="O14:R14" si="70">O86</f>
        <v>1481</v>
      </c>
      <c r="P14" s="316">
        <f t="shared" si="70"/>
        <v>3529</v>
      </c>
      <c r="Q14" s="316">
        <f t="shared" si="70"/>
        <v>8388</v>
      </c>
      <c r="R14" s="316">
        <f t="shared" si="70"/>
        <v>3090</v>
      </c>
      <c r="S14" s="313">
        <f t="shared" ref="S14:S15" si="71">SUM(O14:R14)</f>
        <v>16488</v>
      </c>
      <c r="T14" s="316">
        <f t="shared" ref="T14:V14" si="72">T86</f>
        <v>6186</v>
      </c>
      <c r="U14" s="316">
        <f t="shared" si="72"/>
        <v>-36165</v>
      </c>
      <c r="V14" s="316">
        <f t="shared" si="72"/>
        <v>-143167</v>
      </c>
      <c r="W14" s="324" t="s">
        <v>74</v>
      </c>
      <c r="X14" s="326" t="s">
        <v>74</v>
      </c>
      <c r="Y14" s="154" t="s">
        <v>74</v>
      </c>
      <c r="Z14" s="154" t="s">
        <v>74</v>
      </c>
      <c r="AA14" s="154" t="s">
        <v>74</v>
      </c>
      <c r="AB14" s="154" t="s">
        <v>74</v>
      </c>
      <c r="AC14" s="159" t="s">
        <v>74</v>
      </c>
      <c r="AD14" s="154" t="s">
        <v>74</v>
      </c>
      <c r="AE14" s="154" t="s">
        <v>74</v>
      </c>
      <c r="AF14" s="154" t="s">
        <v>74</v>
      </c>
      <c r="AG14" s="154" t="s">
        <v>74</v>
      </c>
      <c r="AH14" s="159" t="s">
        <v>74</v>
      </c>
      <c r="AI14" s="154" t="s">
        <v>74</v>
      </c>
      <c r="AJ14" s="154" t="s">
        <v>74</v>
      </c>
      <c r="AK14" s="154" t="s">
        <v>74</v>
      </c>
      <c r="AL14" s="154" t="s">
        <v>74</v>
      </c>
      <c r="AM14" s="159" t="s">
        <v>74</v>
      </c>
      <c r="AN14" s="154" t="s">
        <v>74</v>
      </c>
      <c r="AO14" s="154" t="s">
        <v>74</v>
      </c>
      <c r="AP14" s="154" t="s">
        <v>74</v>
      </c>
      <c r="AQ14" s="154" t="s">
        <v>74</v>
      </c>
      <c r="AR14" s="159" t="s">
        <v>74</v>
      </c>
      <c r="AS14" s="154" t="s">
        <v>74</v>
      </c>
      <c r="AT14" s="154" t="s">
        <v>74</v>
      </c>
      <c r="AU14" s="154" t="s">
        <v>74</v>
      </c>
      <c r="AV14" s="154" t="s">
        <v>74</v>
      </c>
      <c r="AW14" s="159" t="s">
        <v>74</v>
      </c>
      <c r="AX14" s="143"/>
      <c r="AY14" s="143"/>
      <c r="AZ14" s="143"/>
      <c r="BA14" s="143"/>
      <c r="BB14" s="143"/>
      <c r="BC14" s="143"/>
      <c r="BD14" s="143"/>
      <c r="BE14" s="143"/>
      <c r="BF14" s="143"/>
      <c r="BG14" s="143"/>
      <c r="BH14" s="143"/>
      <c r="BI14" s="143"/>
      <c r="BJ14" s="143"/>
      <c r="BK14" s="143"/>
      <c r="BL14" s="143"/>
      <c r="BM14" s="143"/>
      <c r="BN14" s="143"/>
      <c r="BO14" s="143"/>
      <c r="BP14" s="143"/>
    </row>
    <row r="15" spans="2:68" s="71" customFormat="1">
      <c r="B15" s="146"/>
      <c r="C15" s="146"/>
      <c r="D15" s="153" t="s">
        <v>129</v>
      </c>
      <c r="E15" s="529">
        <f t="shared" ref="E15:H15" si="73">E87</f>
        <v>170517</v>
      </c>
      <c r="F15" s="529">
        <f t="shared" si="73"/>
        <v>189929</v>
      </c>
      <c r="G15" s="529">
        <f t="shared" si="73"/>
        <v>154337</v>
      </c>
      <c r="H15" s="529">
        <f t="shared" si="73"/>
        <v>170517</v>
      </c>
      <c r="I15" s="318">
        <f t="shared" si="67"/>
        <v>685300</v>
      </c>
      <c r="J15" s="529">
        <f t="shared" ref="J15:M15" si="74">J87</f>
        <v>155872</v>
      </c>
      <c r="K15" s="529">
        <f t="shared" si="74"/>
        <v>118616</v>
      </c>
      <c r="L15" s="529">
        <f t="shared" si="74"/>
        <v>140280</v>
      </c>
      <c r="M15" s="529">
        <f t="shared" si="74"/>
        <v>126550</v>
      </c>
      <c r="N15" s="318">
        <f t="shared" si="69"/>
        <v>541318</v>
      </c>
      <c r="O15" s="529">
        <f t="shared" ref="O15:R15" si="75">O87</f>
        <v>69229</v>
      </c>
      <c r="P15" s="529">
        <f t="shared" si="75"/>
        <v>116923</v>
      </c>
      <c r="Q15" s="529">
        <f t="shared" si="75"/>
        <v>14742</v>
      </c>
      <c r="R15" s="529">
        <f t="shared" si="75"/>
        <v>140242</v>
      </c>
      <c r="S15" s="318">
        <f t="shared" si="71"/>
        <v>341136</v>
      </c>
      <c r="T15" s="529">
        <f t="shared" ref="T15:V15" si="76">T87</f>
        <v>98941</v>
      </c>
      <c r="U15" s="529">
        <f t="shared" si="76"/>
        <v>145509</v>
      </c>
      <c r="V15" s="529">
        <f t="shared" si="76"/>
        <v>218413</v>
      </c>
      <c r="W15" s="329">
        <f>W56</f>
        <v>244111.99999999994</v>
      </c>
      <c r="X15" s="334">
        <f>X56</f>
        <v>706975</v>
      </c>
      <c r="Y15" s="397">
        <f t="shared" ref="Y15:AC15" si="77">Y56</f>
        <v>199829.84307174757</v>
      </c>
      <c r="Z15" s="397">
        <f t="shared" si="77"/>
        <v>210712.29386571195</v>
      </c>
      <c r="AA15" s="397">
        <f t="shared" si="77"/>
        <v>227140.90894040262</v>
      </c>
      <c r="AB15" s="397">
        <f t="shared" si="77"/>
        <v>246143.40197982395</v>
      </c>
      <c r="AC15" s="343">
        <f t="shared" si="77"/>
        <v>883826.44785768609</v>
      </c>
      <c r="AD15" s="397">
        <f t="shared" ref="AD15:AH15" si="78">AD56</f>
        <v>216913.55749909818</v>
      </c>
      <c r="AE15" s="397">
        <f t="shared" si="78"/>
        <v>232000.52196955419</v>
      </c>
      <c r="AF15" s="397">
        <f t="shared" si="78"/>
        <v>253299.03490095201</v>
      </c>
      <c r="AG15" s="397">
        <f t="shared" si="78"/>
        <v>274294.06699582312</v>
      </c>
      <c r="AH15" s="343">
        <f t="shared" si="78"/>
        <v>976507.18136542756</v>
      </c>
      <c r="AI15" s="397">
        <f t="shared" ref="AI15:AM15" si="79">AI56</f>
        <v>234697.39062388981</v>
      </c>
      <c r="AJ15" s="397">
        <f t="shared" si="79"/>
        <v>254323.53699477622</v>
      </c>
      <c r="AK15" s="397">
        <f t="shared" si="79"/>
        <v>281025.12133485201</v>
      </c>
      <c r="AL15" s="397">
        <f t="shared" si="79"/>
        <v>304177.48500826827</v>
      </c>
      <c r="AM15" s="343">
        <f t="shared" si="79"/>
        <v>1074223.5339617864</v>
      </c>
      <c r="AN15" s="397">
        <f t="shared" ref="AN15:AR15" si="80">AN56</f>
        <v>252848.37962390471</v>
      </c>
      <c r="AO15" s="397">
        <f t="shared" si="80"/>
        <v>277288.41686681961</v>
      </c>
      <c r="AP15" s="397">
        <f t="shared" si="80"/>
        <v>309867.10727731651</v>
      </c>
      <c r="AQ15" s="397">
        <f t="shared" si="80"/>
        <v>335320.42189093342</v>
      </c>
      <c r="AR15" s="343">
        <f t="shared" si="80"/>
        <v>1175324.3256589742</v>
      </c>
      <c r="AS15" s="397">
        <f t="shared" ref="AS15:AW15" si="81">AS56</f>
        <v>271084.396527534</v>
      </c>
      <c r="AT15" s="397">
        <f t="shared" si="81"/>
        <v>300546.66350161337</v>
      </c>
      <c r="AU15" s="397">
        <f t="shared" si="81"/>
        <v>339400.46649314964</v>
      </c>
      <c r="AV15" s="397">
        <f t="shared" si="81"/>
        <v>367272.74799740082</v>
      </c>
      <c r="AW15" s="343">
        <f t="shared" si="81"/>
        <v>1278304.2745196978</v>
      </c>
      <c r="AX15" s="146"/>
      <c r="AY15" s="146"/>
      <c r="AZ15" s="146"/>
      <c r="BA15" s="146"/>
      <c r="BB15" s="146"/>
      <c r="BC15" s="146"/>
      <c r="BD15" s="146"/>
      <c r="BE15" s="146"/>
      <c r="BF15" s="146"/>
      <c r="BG15" s="146"/>
      <c r="BH15" s="146"/>
      <c r="BI15" s="146"/>
      <c r="BJ15" s="146"/>
      <c r="BK15" s="146"/>
      <c r="BL15" s="146"/>
      <c r="BM15" s="146"/>
      <c r="BN15" s="146"/>
      <c r="BO15" s="146"/>
      <c r="BP15" s="146"/>
    </row>
    <row r="16" spans="2:68">
      <c r="B16" s="143"/>
      <c r="C16" s="143"/>
      <c r="D16" s="143"/>
      <c r="E16" s="151"/>
      <c r="F16" s="151"/>
      <c r="G16" s="151"/>
      <c r="H16" s="151"/>
      <c r="I16" s="321"/>
      <c r="J16" s="151"/>
      <c r="K16" s="151"/>
      <c r="L16" s="151"/>
      <c r="M16" s="151"/>
      <c r="N16" s="321"/>
      <c r="O16" s="151"/>
      <c r="P16" s="151"/>
      <c r="Q16" s="151"/>
      <c r="R16" s="151"/>
      <c r="S16" s="321"/>
      <c r="T16" s="151"/>
      <c r="U16" s="151"/>
      <c r="V16" s="151"/>
      <c r="W16" s="324"/>
      <c r="X16" s="326"/>
      <c r="Y16" s="154"/>
      <c r="Z16" s="154"/>
      <c r="AA16" s="154"/>
      <c r="AB16" s="154"/>
      <c r="AC16" s="159"/>
      <c r="AD16" s="154"/>
      <c r="AE16" s="154"/>
      <c r="AF16" s="154"/>
      <c r="AG16" s="154"/>
      <c r="AH16" s="159"/>
      <c r="AI16" s="154"/>
      <c r="AJ16" s="154"/>
      <c r="AK16" s="154"/>
      <c r="AL16" s="154"/>
      <c r="AM16" s="159"/>
      <c r="AN16" s="154"/>
      <c r="AO16" s="154"/>
      <c r="AP16" s="154"/>
      <c r="AQ16" s="154"/>
      <c r="AR16" s="159"/>
      <c r="AS16" s="154"/>
      <c r="AT16" s="154"/>
      <c r="AU16" s="154"/>
      <c r="AV16" s="154"/>
      <c r="AW16" s="159"/>
      <c r="AX16" s="143"/>
      <c r="AY16" s="143"/>
      <c r="AZ16" s="143"/>
      <c r="BA16" s="143"/>
      <c r="BB16" s="143"/>
      <c r="BC16" s="143"/>
      <c r="BD16" s="143"/>
      <c r="BE16" s="143"/>
      <c r="BF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</row>
    <row r="17" spans="2:68">
      <c r="B17" s="143"/>
      <c r="C17" s="143"/>
      <c r="D17" s="143" t="s">
        <v>82</v>
      </c>
      <c r="E17" s="316">
        <f t="shared" ref="E17:H17" si="82">E89</f>
        <v>17618</v>
      </c>
      <c r="F17" s="316">
        <f t="shared" si="82"/>
        <v>16042</v>
      </c>
      <c r="G17" s="316">
        <f t="shared" si="82"/>
        <v>15434</v>
      </c>
      <c r="H17" s="316">
        <f t="shared" si="82"/>
        <v>17618</v>
      </c>
      <c r="I17" s="313">
        <f t="shared" ref="I17:I18" si="83">SUM(E17:H17)</f>
        <v>66712</v>
      </c>
      <c r="J17" s="316">
        <f t="shared" ref="J17:M17" si="84">J89</f>
        <v>20760</v>
      </c>
      <c r="K17" s="316">
        <f t="shared" si="84"/>
        <v>7766</v>
      </c>
      <c r="L17" s="316">
        <f t="shared" si="84"/>
        <v>17303</v>
      </c>
      <c r="M17" s="316">
        <f t="shared" si="84"/>
        <v>-22360</v>
      </c>
      <c r="N17" s="313">
        <f t="shared" ref="N17:N18" si="85">SUM(J17:M17)</f>
        <v>23469</v>
      </c>
      <c r="O17" s="316">
        <f t="shared" ref="O17:R17" si="86">O89</f>
        <v>7885</v>
      </c>
      <c r="P17" s="316">
        <f t="shared" si="86"/>
        <v>11194</v>
      </c>
      <c r="Q17" s="316">
        <f t="shared" si="86"/>
        <v>17250</v>
      </c>
      <c r="R17" s="316">
        <f t="shared" si="86"/>
        <v>10773</v>
      </c>
      <c r="S17" s="313">
        <f t="shared" ref="S17:S18" si="87">SUM(O17:R17)</f>
        <v>47102</v>
      </c>
      <c r="T17" s="316">
        <f t="shared" ref="T17:V17" si="88">T89</f>
        <v>12067</v>
      </c>
      <c r="U17" s="316">
        <f t="shared" si="88"/>
        <v>20799</v>
      </c>
      <c r="V17" s="316">
        <f t="shared" si="88"/>
        <v>13327</v>
      </c>
      <c r="W17" s="332">
        <f>W58</f>
        <v>30513.999999999993</v>
      </c>
      <c r="X17" s="335">
        <f t="shared" ref="X17:AC17" si="89">X58</f>
        <v>76707</v>
      </c>
      <c r="Y17" s="332">
        <f t="shared" si="89"/>
        <v>24978.730383968446</v>
      </c>
      <c r="Z17" s="332">
        <f t="shared" si="89"/>
        <v>26339.036733213994</v>
      </c>
      <c r="AA17" s="332">
        <f t="shared" si="89"/>
        <v>28392.613617550327</v>
      </c>
      <c r="AB17" s="332">
        <f t="shared" si="89"/>
        <v>30767.925247477993</v>
      </c>
      <c r="AC17" s="335">
        <f t="shared" si="89"/>
        <v>110478.30598221076</v>
      </c>
      <c r="AD17" s="332">
        <f t="shared" ref="AD17:AH17" si="90">AD58</f>
        <v>27114.194687387273</v>
      </c>
      <c r="AE17" s="332">
        <f t="shared" si="90"/>
        <v>29000.065246194274</v>
      </c>
      <c r="AF17" s="332">
        <f t="shared" si="90"/>
        <v>31662.379362619002</v>
      </c>
      <c r="AG17" s="332">
        <f t="shared" si="90"/>
        <v>34286.758374477889</v>
      </c>
      <c r="AH17" s="335">
        <f t="shared" si="90"/>
        <v>122063.39767067845</v>
      </c>
      <c r="AI17" s="332">
        <f t="shared" ref="AI17:AM17" si="91">AI58</f>
        <v>29337.173827986226</v>
      </c>
      <c r="AJ17" s="332">
        <f t="shared" si="91"/>
        <v>31790.442124347028</v>
      </c>
      <c r="AK17" s="332">
        <f t="shared" si="91"/>
        <v>35128.140166856501</v>
      </c>
      <c r="AL17" s="332">
        <f t="shared" si="91"/>
        <v>38022.185626033533</v>
      </c>
      <c r="AM17" s="335">
        <f t="shared" si="91"/>
        <v>134277.9417452233</v>
      </c>
      <c r="AN17" s="332">
        <f t="shared" ref="AN17:AR17" si="92">AN58</f>
        <v>31606.047452988088</v>
      </c>
      <c r="AO17" s="332">
        <f t="shared" si="92"/>
        <v>34661.052108352451</v>
      </c>
      <c r="AP17" s="332">
        <f t="shared" si="92"/>
        <v>38733.388409664563</v>
      </c>
      <c r="AQ17" s="332">
        <f t="shared" si="92"/>
        <v>41915.052736366677</v>
      </c>
      <c r="AR17" s="335">
        <f t="shared" si="92"/>
        <v>146915.54070737178</v>
      </c>
      <c r="AS17" s="332">
        <f t="shared" ref="AS17:AW17" si="93">AS58</f>
        <v>33885.54956594175</v>
      </c>
      <c r="AT17" s="332">
        <f t="shared" si="93"/>
        <v>37568.332937701671</v>
      </c>
      <c r="AU17" s="332">
        <f t="shared" si="93"/>
        <v>42425.058311643705</v>
      </c>
      <c r="AV17" s="332">
        <f t="shared" si="93"/>
        <v>45909.093499675102</v>
      </c>
      <c r="AW17" s="335">
        <f t="shared" si="93"/>
        <v>159788.03431496222</v>
      </c>
      <c r="AX17" s="143"/>
      <c r="AY17" s="143"/>
      <c r="AZ17" s="143"/>
      <c r="BA17" s="143"/>
      <c r="BB17" s="143"/>
      <c r="BC17" s="143"/>
      <c r="BD17" s="143"/>
      <c r="BE17" s="143"/>
      <c r="BF17" s="143"/>
      <c r="BG17" s="143"/>
      <c r="BH17" s="143"/>
      <c r="BI17" s="143"/>
      <c r="BJ17" s="143"/>
      <c r="BK17" s="143"/>
      <c r="BL17" s="143"/>
      <c r="BM17" s="143"/>
      <c r="BN17" s="143"/>
      <c r="BO17" s="143"/>
      <c r="BP17" s="143"/>
    </row>
    <row r="18" spans="2:68" s="71" customFormat="1">
      <c r="B18" s="146"/>
      <c r="C18" s="146"/>
      <c r="D18" s="153" t="s">
        <v>83</v>
      </c>
      <c r="E18" s="529">
        <f t="shared" ref="E18:H18" si="94">E90</f>
        <v>152899</v>
      </c>
      <c r="F18" s="529">
        <f t="shared" si="94"/>
        <v>173887</v>
      </c>
      <c r="G18" s="529">
        <f t="shared" si="94"/>
        <v>138903</v>
      </c>
      <c r="H18" s="529">
        <f t="shared" si="94"/>
        <v>152899</v>
      </c>
      <c r="I18" s="318">
        <f t="shared" si="83"/>
        <v>618588</v>
      </c>
      <c r="J18" s="529">
        <f t="shared" ref="J18:M18" si="95">J90</f>
        <v>135112</v>
      </c>
      <c r="K18" s="529">
        <f t="shared" si="95"/>
        <v>110850</v>
      </c>
      <c r="L18" s="529">
        <f t="shared" si="95"/>
        <v>122977</v>
      </c>
      <c r="M18" s="529">
        <f t="shared" si="95"/>
        <v>148910</v>
      </c>
      <c r="N18" s="318">
        <f t="shared" si="85"/>
        <v>517849</v>
      </c>
      <c r="O18" s="529">
        <f t="shared" ref="O18:R18" si="96">O90</f>
        <v>61344</v>
      </c>
      <c r="P18" s="529">
        <f t="shared" si="96"/>
        <v>105729</v>
      </c>
      <c r="Q18" s="529">
        <f t="shared" si="96"/>
        <v>-2508</v>
      </c>
      <c r="R18" s="529">
        <f t="shared" si="96"/>
        <v>129469</v>
      </c>
      <c r="S18" s="318">
        <f t="shared" si="87"/>
        <v>294034</v>
      </c>
      <c r="T18" s="529">
        <f t="shared" ref="T18:V18" si="97">T90</f>
        <v>86874</v>
      </c>
      <c r="U18" s="529">
        <f t="shared" si="97"/>
        <v>124710</v>
      </c>
      <c r="V18" s="529">
        <f t="shared" si="97"/>
        <v>205086</v>
      </c>
      <c r="W18" s="330">
        <f>W15-W17</f>
        <v>213597.99999999994</v>
      </c>
      <c r="X18" s="388">
        <f t="shared" ref="X18:Y18" si="98">X15-X17</f>
        <v>630268</v>
      </c>
      <c r="Y18" s="330">
        <f t="shared" si="98"/>
        <v>174851.11268777912</v>
      </c>
      <c r="Z18" s="330">
        <f t="shared" ref="Z18" si="99">Z15-Z17</f>
        <v>184373.25713249797</v>
      </c>
      <c r="AA18" s="330">
        <f t="shared" ref="AA18" si="100">AA15-AA17</f>
        <v>198748.2953228523</v>
      </c>
      <c r="AB18" s="330">
        <f t="shared" ref="AB18" si="101">AB15-AB17</f>
        <v>215375.47673234594</v>
      </c>
      <c r="AC18" s="388">
        <f t="shared" ref="AC18" si="102">AC15-AC17</f>
        <v>773348.1418754753</v>
      </c>
      <c r="AD18" s="330">
        <f t="shared" ref="AD18" si="103">AD15-AD17</f>
        <v>189799.36281171092</v>
      </c>
      <c r="AE18" s="330">
        <f t="shared" ref="AE18" si="104">AE15-AE17</f>
        <v>203000.45672335991</v>
      </c>
      <c r="AF18" s="330">
        <f t="shared" ref="AF18" si="105">AF15-AF17</f>
        <v>221636.655538333</v>
      </c>
      <c r="AG18" s="330">
        <f t="shared" ref="AG18" si="106">AG15-AG17</f>
        <v>240007.30862134523</v>
      </c>
      <c r="AH18" s="388">
        <f t="shared" ref="AH18" si="107">AH15-AH17</f>
        <v>854443.78369474912</v>
      </c>
      <c r="AI18" s="330">
        <f t="shared" ref="AI18" si="108">AI15-AI17</f>
        <v>205360.21679590357</v>
      </c>
      <c r="AJ18" s="330">
        <f t="shared" ref="AJ18" si="109">AJ15-AJ17</f>
        <v>222533.09487042919</v>
      </c>
      <c r="AK18" s="330">
        <f t="shared" ref="AK18" si="110">AK15-AK17</f>
        <v>245896.98116799552</v>
      </c>
      <c r="AL18" s="330">
        <f t="shared" ref="AL18" si="111">AL15-AL17</f>
        <v>266155.29938223475</v>
      </c>
      <c r="AM18" s="388">
        <f t="shared" ref="AM18" si="112">AM15-AM17</f>
        <v>939945.59221656318</v>
      </c>
      <c r="AN18" s="330">
        <f t="shared" ref="AN18" si="113">AN15-AN17</f>
        <v>221242.3321709166</v>
      </c>
      <c r="AO18" s="330">
        <f t="shared" ref="AO18" si="114">AO15-AO17</f>
        <v>242627.36475846716</v>
      </c>
      <c r="AP18" s="330">
        <f t="shared" ref="AP18" si="115">AP15-AP17</f>
        <v>271133.71886765194</v>
      </c>
      <c r="AQ18" s="330">
        <f t="shared" ref="AQ18" si="116">AQ15-AQ17</f>
        <v>293405.36915456672</v>
      </c>
      <c r="AR18" s="388">
        <f t="shared" ref="AR18" si="117">AR15-AR17</f>
        <v>1028408.7849516025</v>
      </c>
      <c r="AS18" s="330">
        <f t="shared" ref="AS18" si="118">AS15-AS17</f>
        <v>237198.84696159227</v>
      </c>
      <c r="AT18" s="330">
        <f t="shared" ref="AT18" si="119">AT15-AT17</f>
        <v>262978.3305639117</v>
      </c>
      <c r="AU18" s="330">
        <f t="shared" ref="AU18" si="120">AU15-AU17</f>
        <v>296975.40818150592</v>
      </c>
      <c r="AV18" s="330">
        <f t="shared" ref="AV18" si="121">AV15-AV17</f>
        <v>321363.65449772571</v>
      </c>
      <c r="AW18" s="388">
        <f t="shared" ref="AW18" si="122">AW15-AW17</f>
        <v>1118516.2402047357</v>
      </c>
      <c r="AX18" s="146"/>
      <c r="AY18" s="146"/>
      <c r="AZ18" s="146"/>
      <c r="BA18" s="146"/>
      <c r="BB18" s="146"/>
      <c r="BC18" s="146"/>
      <c r="BD18" s="146"/>
      <c r="BE18" s="146"/>
      <c r="BF18" s="146"/>
      <c r="BG18" s="146"/>
      <c r="BH18" s="146"/>
      <c r="BI18" s="146"/>
      <c r="BJ18" s="146"/>
      <c r="BK18" s="146"/>
      <c r="BL18" s="146"/>
      <c r="BM18" s="146"/>
      <c r="BN18" s="146"/>
      <c r="BO18" s="146"/>
      <c r="BP18" s="146"/>
    </row>
    <row r="19" spans="2:68">
      <c r="B19" s="143"/>
      <c r="C19" s="143"/>
      <c r="D19" s="143"/>
      <c r="E19" s="151"/>
      <c r="F19" s="151"/>
      <c r="G19" s="151"/>
      <c r="H19" s="151"/>
      <c r="I19" s="321"/>
      <c r="J19" s="151"/>
      <c r="K19" s="151"/>
      <c r="L19" s="151"/>
      <c r="M19" s="151"/>
      <c r="N19" s="321"/>
      <c r="O19" s="151"/>
      <c r="P19" s="151"/>
      <c r="Q19" s="151"/>
      <c r="R19" s="151"/>
      <c r="S19" s="321"/>
      <c r="T19" s="151"/>
      <c r="U19" s="151"/>
      <c r="V19" s="151"/>
      <c r="W19" s="324"/>
      <c r="X19" s="326"/>
      <c r="Y19" s="154"/>
      <c r="Z19" s="154"/>
      <c r="AA19" s="154"/>
      <c r="AB19" s="154"/>
      <c r="AC19" s="159"/>
      <c r="AD19" s="154"/>
      <c r="AE19" s="154"/>
      <c r="AF19" s="154"/>
      <c r="AG19" s="154"/>
      <c r="AH19" s="159"/>
      <c r="AI19" s="154"/>
      <c r="AJ19" s="154"/>
      <c r="AK19" s="154"/>
      <c r="AL19" s="154"/>
      <c r="AM19" s="159"/>
      <c r="AN19" s="154"/>
      <c r="AO19" s="154"/>
      <c r="AP19" s="154"/>
      <c r="AQ19" s="154"/>
      <c r="AR19" s="159"/>
      <c r="AS19" s="154"/>
      <c r="AT19" s="154"/>
      <c r="AU19" s="154"/>
      <c r="AV19" s="154"/>
      <c r="AW19" s="159"/>
      <c r="AX19" s="143"/>
      <c r="AY19" s="143"/>
      <c r="AZ19" s="143"/>
      <c r="BA19" s="143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  <c r="BN19" s="143"/>
      <c r="BO19" s="143"/>
      <c r="BP19" s="143"/>
    </row>
    <row r="20" spans="2:68" s="3" customFormat="1">
      <c r="B20" s="157"/>
      <c r="C20" s="157"/>
      <c r="D20" s="157" t="s">
        <v>130</v>
      </c>
      <c r="E20" s="372">
        <f>E93</f>
        <v>0.26491751811032355</v>
      </c>
      <c r="F20" s="372">
        <f t="shared" ref="F20:H21" si="123">F93</f>
        <v>0.29611244599673381</v>
      </c>
      <c r="G20" s="372">
        <f t="shared" si="123"/>
        <v>0.23713295547664573</v>
      </c>
      <c r="H20" s="372">
        <f t="shared" si="123"/>
        <v>0.26491751811032355</v>
      </c>
      <c r="I20" s="366">
        <f t="shared" ref="I20:I21" si="124">SUM(E20:H20)</f>
        <v>1.0630804376940266</v>
      </c>
      <c r="J20" s="372">
        <f>J93</f>
        <v>0.23221025277905721</v>
      </c>
      <c r="K20" s="372">
        <f t="shared" ref="K20:M20" si="125">K93</f>
        <v>0.19600562289472986</v>
      </c>
      <c r="L20" s="372">
        <f t="shared" si="125"/>
        <v>0.2183024960369799</v>
      </c>
      <c r="M20" s="372">
        <f t="shared" si="125"/>
        <v>0.26834547023980077</v>
      </c>
      <c r="N20" s="366">
        <f t="shared" ref="N20:N21" si="126">SUM(J20:M20)</f>
        <v>0.91486384195056769</v>
      </c>
      <c r="O20" s="372">
        <f>O93</f>
        <v>0.11</v>
      </c>
      <c r="P20" s="372">
        <f t="shared" ref="P20:R20" si="127">P93</f>
        <v>0.19412960334611876</v>
      </c>
      <c r="Q20" s="372">
        <f t="shared" si="127"/>
        <v>-4.6098280504728384E-3</v>
      </c>
      <c r="R20" s="372">
        <f t="shared" si="127"/>
        <v>0.23991824148781221</v>
      </c>
      <c r="S20" s="366">
        <f t="shared" ref="S20:S21" si="128">SUM(O20:R20)</f>
        <v>0.53943801678345815</v>
      </c>
      <c r="T20" s="372">
        <f>T93</f>
        <v>0.16064513981604417</v>
      </c>
      <c r="U20" s="372">
        <f t="shared" ref="U20:V20" si="129">U93</f>
        <v>0.23518296408608477</v>
      </c>
      <c r="V20" s="372">
        <f t="shared" si="129"/>
        <v>0.38599846041787045</v>
      </c>
      <c r="W20" s="333">
        <f>W18/W23</f>
        <v>0.39924859813084101</v>
      </c>
      <c r="X20" s="393">
        <f t="shared" ref="X20:AC20" si="130">X18/X23</f>
        <v>1.1780710280373832</v>
      </c>
      <c r="Y20" s="333">
        <f t="shared" si="130"/>
        <v>0.32682450969678339</v>
      </c>
      <c r="Z20" s="333">
        <f t="shared" si="130"/>
        <v>0.34462291052803357</v>
      </c>
      <c r="AA20" s="333">
        <f t="shared" si="130"/>
        <v>0.37149214079037812</v>
      </c>
      <c r="AB20" s="333">
        <f t="shared" si="130"/>
        <v>0.40257098454644102</v>
      </c>
      <c r="AC20" s="393">
        <f t="shared" si="130"/>
        <v>1.4455105455616362</v>
      </c>
      <c r="AD20" s="333">
        <f t="shared" ref="AD20:AH20" si="131">AD18/AD23</f>
        <v>0.35476516413403908</v>
      </c>
      <c r="AE20" s="333">
        <f t="shared" si="131"/>
        <v>0.3794401060249718</v>
      </c>
      <c r="AF20" s="333">
        <f t="shared" si="131"/>
        <v>0.41427412250155699</v>
      </c>
      <c r="AG20" s="333">
        <f t="shared" si="131"/>
        <v>0.44861179181559857</v>
      </c>
      <c r="AH20" s="393">
        <f t="shared" si="131"/>
        <v>1.5970911844761666</v>
      </c>
      <c r="AI20" s="333">
        <f t="shared" ref="AI20:AM20" si="132">AI18/AI23</f>
        <v>0.3838508725157076</v>
      </c>
      <c r="AJ20" s="333">
        <f t="shared" si="132"/>
        <v>0.41594971003818543</v>
      </c>
      <c r="AK20" s="333">
        <f t="shared" si="132"/>
        <v>0.45962052554765515</v>
      </c>
      <c r="AL20" s="333">
        <f t="shared" si="132"/>
        <v>0.49748654090137334</v>
      </c>
      <c r="AM20" s="393">
        <f t="shared" si="132"/>
        <v>1.7569076490029218</v>
      </c>
      <c r="AN20" s="333">
        <f t="shared" ref="AN20:AR20" si="133">AN18/AN23</f>
        <v>0.41353706947834878</v>
      </c>
      <c r="AO20" s="333">
        <f t="shared" si="133"/>
        <v>0.45350909300648068</v>
      </c>
      <c r="AP20" s="333">
        <f t="shared" si="133"/>
        <v>0.50679199788346163</v>
      </c>
      <c r="AQ20" s="333">
        <f t="shared" si="133"/>
        <v>0.54842125075619952</v>
      </c>
      <c r="AR20" s="393">
        <f t="shared" si="133"/>
        <v>1.9222594111244906</v>
      </c>
      <c r="AS20" s="333">
        <f t="shared" ref="AS20:AW20" si="134">AS18/AS23</f>
        <v>0.44336233076933135</v>
      </c>
      <c r="AT20" s="333">
        <f t="shared" si="134"/>
        <v>0.49154828142787232</v>
      </c>
      <c r="AU20" s="333">
        <f t="shared" si="134"/>
        <v>0.55509422090001104</v>
      </c>
      <c r="AV20" s="333">
        <f t="shared" si="134"/>
        <v>0.60067972803313219</v>
      </c>
      <c r="AW20" s="393">
        <f t="shared" si="134"/>
        <v>2.0906845611303471</v>
      </c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57"/>
      <c r="BI20" s="157"/>
      <c r="BJ20" s="157"/>
      <c r="BK20" s="157"/>
      <c r="BL20" s="157"/>
      <c r="BM20" s="157"/>
      <c r="BN20" s="157"/>
      <c r="BO20" s="157"/>
      <c r="BP20" s="157"/>
    </row>
    <row r="21" spans="2:68" s="3" customFormat="1">
      <c r="B21" s="157"/>
      <c r="C21" s="157"/>
      <c r="D21" s="157" t="s">
        <v>131</v>
      </c>
      <c r="E21" s="372">
        <f>E94</f>
        <v>0.26038613694458967</v>
      </c>
      <c r="F21" s="372">
        <f t="shared" si="123"/>
        <v>0.28918509895227007</v>
      </c>
      <c r="G21" s="372">
        <f t="shared" si="123"/>
        <v>0.23310917967143896</v>
      </c>
      <c r="H21" s="372">
        <f t="shared" si="123"/>
        <v>0.26038613694458967</v>
      </c>
      <c r="I21" s="366">
        <f t="shared" si="124"/>
        <v>1.0430665525128884</v>
      </c>
      <c r="J21" s="372">
        <f>J94</f>
        <v>0.27</v>
      </c>
      <c r="K21" s="372">
        <f t="shared" ref="K21:M21" si="135">K94</f>
        <v>0.19178300233392215</v>
      </c>
      <c r="L21" s="372">
        <f t="shared" si="135"/>
        <v>0.21587978688855536</v>
      </c>
      <c r="M21" s="372">
        <f t="shared" si="135"/>
        <v>0.2654386127530321</v>
      </c>
      <c r="N21" s="366">
        <f t="shared" si="126"/>
        <v>0.94310140197550973</v>
      </c>
      <c r="O21" s="372">
        <f>O94</f>
        <v>0.28999999999999998</v>
      </c>
      <c r="P21" s="372">
        <f t="shared" ref="P21:R21" si="136">P94</f>
        <v>0.19187556371806203</v>
      </c>
      <c r="Q21" s="372">
        <f t="shared" si="136"/>
        <v>-4.6098280504728384E-3</v>
      </c>
      <c r="R21" s="372">
        <f t="shared" si="136"/>
        <v>0.23754820906312038</v>
      </c>
      <c r="S21" s="366">
        <f t="shared" si="128"/>
        <v>0.71481394473070958</v>
      </c>
      <c r="T21" s="372">
        <f>T94</f>
        <v>0.28999999999999998</v>
      </c>
      <c r="U21" s="372">
        <f t="shared" ref="U21:V21" si="137">U94</f>
        <v>0.23153055976889644</v>
      </c>
      <c r="V21" s="372">
        <f t="shared" si="137"/>
        <v>0.38260957167563092</v>
      </c>
      <c r="W21" s="325"/>
      <c r="X21" s="327"/>
      <c r="Y21" s="158"/>
      <c r="Z21" s="158"/>
      <c r="AA21" s="158"/>
      <c r="AB21" s="158"/>
      <c r="AC21" s="249"/>
      <c r="AD21" s="158"/>
      <c r="AE21" s="158"/>
      <c r="AF21" s="158"/>
      <c r="AG21" s="158"/>
      <c r="AH21" s="249"/>
      <c r="AI21" s="158"/>
      <c r="AJ21" s="158"/>
      <c r="AK21" s="158"/>
      <c r="AL21" s="158"/>
      <c r="AM21" s="249"/>
      <c r="AN21" s="158"/>
      <c r="AO21" s="158"/>
      <c r="AP21" s="158"/>
      <c r="AQ21" s="158"/>
      <c r="AR21" s="249"/>
      <c r="AS21" s="158"/>
      <c r="AT21" s="158"/>
      <c r="AU21" s="158"/>
      <c r="AV21" s="158"/>
      <c r="AW21" s="249"/>
      <c r="AX21" s="157"/>
      <c r="AY21" s="157"/>
      <c r="AZ21" s="157"/>
      <c r="BA21" s="157"/>
      <c r="BB21" s="157"/>
      <c r="BC21" s="157"/>
      <c r="BD21" s="157"/>
      <c r="BE21" s="157"/>
      <c r="BF21" s="157"/>
      <c r="BG21" s="157"/>
      <c r="BH21" s="157"/>
      <c r="BI21" s="157"/>
      <c r="BJ21" s="157"/>
      <c r="BK21" s="157"/>
      <c r="BL21" s="157"/>
      <c r="BM21" s="157"/>
      <c r="BN21" s="157"/>
      <c r="BO21" s="157"/>
      <c r="BP21" s="157"/>
    </row>
    <row r="22" spans="2:68">
      <c r="B22" s="143"/>
      <c r="C22" s="143"/>
      <c r="D22" s="143"/>
      <c r="E22" s="151"/>
      <c r="F22" s="151"/>
      <c r="G22" s="151"/>
      <c r="H22" s="151"/>
      <c r="I22" s="321"/>
      <c r="J22" s="151"/>
      <c r="K22" s="151"/>
      <c r="L22" s="151"/>
      <c r="M22" s="151"/>
      <c r="N22" s="321"/>
      <c r="O22" s="151"/>
      <c r="P22" s="151"/>
      <c r="Q22" s="151"/>
      <c r="R22" s="151"/>
      <c r="S22" s="321"/>
      <c r="T22" s="151"/>
      <c r="U22" s="151"/>
      <c r="V22" s="151"/>
      <c r="W22" s="324"/>
      <c r="X22" s="326"/>
      <c r="Y22" s="154"/>
      <c r="Z22" s="154"/>
      <c r="AA22" s="154"/>
      <c r="AB22" s="154"/>
      <c r="AC22" s="159"/>
      <c r="AD22" s="154"/>
      <c r="AE22" s="154"/>
      <c r="AF22" s="154"/>
      <c r="AG22" s="154"/>
      <c r="AH22" s="159"/>
      <c r="AI22" s="154"/>
      <c r="AJ22" s="154"/>
      <c r="AK22" s="154"/>
      <c r="AL22" s="154"/>
      <c r="AM22" s="159"/>
      <c r="AN22" s="154"/>
      <c r="AO22" s="154"/>
      <c r="AP22" s="154"/>
      <c r="AQ22" s="154"/>
      <c r="AR22" s="159"/>
      <c r="AS22" s="154"/>
      <c r="AT22" s="154"/>
      <c r="AU22" s="154"/>
      <c r="AV22" s="154"/>
      <c r="AW22" s="159"/>
      <c r="AX22" s="143"/>
      <c r="AY22" s="143"/>
      <c r="AZ22" s="143"/>
      <c r="BA22" s="143"/>
      <c r="BB22" s="143"/>
      <c r="BC22" s="143"/>
      <c r="BD22" s="143"/>
      <c r="BE22" s="143"/>
      <c r="BF22" s="143"/>
      <c r="BG22" s="143"/>
      <c r="BH22" s="143"/>
      <c r="BI22" s="143"/>
      <c r="BJ22" s="143"/>
      <c r="BK22" s="143"/>
      <c r="BL22" s="143"/>
      <c r="BM22" s="143"/>
      <c r="BN22" s="143"/>
      <c r="BO22" s="143"/>
      <c r="BP22" s="143"/>
    </row>
    <row r="23" spans="2:68" s="2" customFormat="1">
      <c r="B23" s="155"/>
      <c r="C23" s="155"/>
      <c r="D23" s="155" t="s">
        <v>87</v>
      </c>
      <c r="E23" s="316">
        <f>E96</f>
        <v>577157</v>
      </c>
      <c r="F23" s="316">
        <f t="shared" ref="F23:H23" si="138">F96</f>
        <v>587233</v>
      </c>
      <c r="G23" s="316">
        <f t="shared" si="138"/>
        <v>585760</v>
      </c>
      <c r="H23" s="316">
        <f t="shared" si="138"/>
        <v>577157</v>
      </c>
      <c r="I23" s="354">
        <f>H23</f>
        <v>577157</v>
      </c>
      <c r="J23" s="316">
        <f>J96</f>
        <v>581852</v>
      </c>
      <c r="K23" s="316">
        <f t="shared" ref="K23:M23" si="139">K96</f>
        <v>565545</v>
      </c>
      <c r="L23" s="316">
        <f t="shared" si="139"/>
        <v>563333</v>
      </c>
      <c r="M23" s="316">
        <f t="shared" si="139"/>
        <v>554919</v>
      </c>
      <c r="N23" s="354">
        <f>M23</f>
        <v>554919</v>
      </c>
      <c r="O23" s="316">
        <f>O96</f>
        <v>0</v>
      </c>
      <c r="P23" s="316">
        <f t="shared" ref="P23:R23" si="140">P96</f>
        <v>544631</v>
      </c>
      <c r="Q23" s="316">
        <f t="shared" si="140"/>
        <v>544055</v>
      </c>
      <c r="R23" s="316">
        <f t="shared" si="140"/>
        <v>539638</v>
      </c>
      <c r="S23" s="354">
        <f>R23</f>
        <v>539638</v>
      </c>
      <c r="T23" s="316">
        <f>T96</f>
        <v>540782</v>
      </c>
      <c r="U23" s="316">
        <f t="shared" ref="U23:V23" si="141">U96</f>
        <v>530268</v>
      </c>
      <c r="V23" s="316">
        <f t="shared" si="141"/>
        <v>531313</v>
      </c>
      <c r="W23" s="328">
        <v>535000</v>
      </c>
      <c r="X23" s="335">
        <f>W23</f>
        <v>535000</v>
      </c>
      <c r="Y23" s="391">
        <f t="shared" ref="Y23:AW23" si="142">X23</f>
        <v>535000</v>
      </c>
      <c r="Z23" s="391">
        <f t="shared" si="142"/>
        <v>535000</v>
      </c>
      <c r="AA23" s="391">
        <f t="shared" si="142"/>
        <v>535000</v>
      </c>
      <c r="AB23" s="391">
        <f t="shared" si="142"/>
        <v>535000</v>
      </c>
      <c r="AC23" s="392">
        <f t="shared" si="142"/>
        <v>535000</v>
      </c>
      <c r="AD23" s="391">
        <f t="shared" si="142"/>
        <v>535000</v>
      </c>
      <c r="AE23" s="391">
        <f t="shared" si="142"/>
        <v>535000</v>
      </c>
      <c r="AF23" s="391">
        <f t="shared" si="142"/>
        <v>535000</v>
      </c>
      <c r="AG23" s="391">
        <f t="shared" si="142"/>
        <v>535000</v>
      </c>
      <c r="AH23" s="392">
        <f t="shared" si="142"/>
        <v>535000</v>
      </c>
      <c r="AI23" s="391">
        <f t="shared" si="142"/>
        <v>535000</v>
      </c>
      <c r="AJ23" s="391">
        <f t="shared" si="142"/>
        <v>535000</v>
      </c>
      <c r="AK23" s="391">
        <f t="shared" si="142"/>
        <v>535000</v>
      </c>
      <c r="AL23" s="391">
        <f t="shared" si="142"/>
        <v>535000</v>
      </c>
      <c r="AM23" s="392">
        <f t="shared" si="142"/>
        <v>535000</v>
      </c>
      <c r="AN23" s="391">
        <f t="shared" si="142"/>
        <v>535000</v>
      </c>
      <c r="AO23" s="391">
        <f t="shared" si="142"/>
        <v>535000</v>
      </c>
      <c r="AP23" s="391">
        <f t="shared" si="142"/>
        <v>535000</v>
      </c>
      <c r="AQ23" s="391">
        <f t="shared" si="142"/>
        <v>535000</v>
      </c>
      <c r="AR23" s="392">
        <f t="shared" si="142"/>
        <v>535000</v>
      </c>
      <c r="AS23" s="391">
        <f t="shared" si="142"/>
        <v>535000</v>
      </c>
      <c r="AT23" s="391">
        <f t="shared" si="142"/>
        <v>535000</v>
      </c>
      <c r="AU23" s="391">
        <f t="shared" si="142"/>
        <v>535000</v>
      </c>
      <c r="AV23" s="391">
        <f t="shared" si="142"/>
        <v>535000</v>
      </c>
      <c r="AW23" s="392">
        <f t="shared" si="142"/>
        <v>535000</v>
      </c>
      <c r="AX23" s="155"/>
      <c r="AY23" s="155"/>
      <c r="AZ23" s="155"/>
      <c r="BA23" s="155"/>
      <c r="BB23" s="155"/>
      <c r="BC23" s="155"/>
      <c r="BD23" s="155"/>
      <c r="BE23" s="155"/>
      <c r="BF23" s="155"/>
      <c r="BG23" s="155"/>
      <c r="BH23" s="155"/>
      <c r="BI23" s="155"/>
      <c r="BJ23" s="155"/>
      <c r="BK23" s="155"/>
      <c r="BL23" s="155"/>
      <c r="BM23" s="155"/>
      <c r="BN23" s="155"/>
      <c r="BO23" s="155"/>
      <c r="BP23" s="155"/>
    </row>
    <row r="24" spans="2:68" s="2" customFormat="1">
      <c r="B24" s="155"/>
      <c r="C24" s="155"/>
      <c r="D24" s="155" t="s">
        <v>88</v>
      </c>
      <c r="E24" s="316">
        <f>E97</f>
        <v>587201</v>
      </c>
      <c r="F24" s="316">
        <f t="shared" ref="F24:H24" si="143">F97</f>
        <v>601300</v>
      </c>
      <c r="G24" s="316">
        <f t="shared" si="143"/>
        <v>595871</v>
      </c>
      <c r="H24" s="316">
        <f t="shared" si="143"/>
        <v>587201</v>
      </c>
      <c r="I24" s="354">
        <f>H24</f>
        <v>587201</v>
      </c>
      <c r="J24" s="316">
        <f>J97</f>
        <v>0</v>
      </c>
      <c r="K24" s="316">
        <f t="shared" ref="K24:M24" si="144">K97</f>
        <v>577997</v>
      </c>
      <c r="L24" s="316">
        <f t="shared" si="144"/>
        <v>569655</v>
      </c>
      <c r="M24" s="316">
        <f t="shared" si="144"/>
        <v>560996</v>
      </c>
      <c r="N24" s="354">
        <f>M24</f>
        <v>560996</v>
      </c>
      <c r="O24" s="316">
        <f>O97</f>
        <v>552828</v>
      </c>
      <c r="P24" s="316">
        <f t="shared" ref="P24:R24" si="145">P97</f>
        <v>551029</v>
      </c>
      <c r="Q24" s="316">
        <f t="shared" si="145"/>
        <v>544055</v>
      </c>
      <c r="R24" s="316">
        <f t="shared" si="145"/>
        <v>545022</v>
      </c>
      <c r="S24" s="354">
        <f>R24</f>
        <v>545022</v>
      </c>
      <c r="T24" s="316">
        <f>T97</f>
        <v>0</v>
      </c>
      <c r="U24" s="316">
        <f t="shared" ref="U24:V24" si="146">U97</f>
        <v>538633</v>
      </c>
      <c r="V24" s="316">
        <f t="shared" si="146"/>
        <v>536019</v>
      </c>
      <c r="W24" s="324"/>
      <c r="X24" s="322"/>
      <c r="Y24" s="156"/>
      <c r="Z24" s="156"/>
      <c r="AA24" s="156"/>
      <c r="AB24" s="156"/>
      <c r="AC24" s="192"/>
      <c r="AD24" s="156"/>
      <c r="AE24" s="156"/>
      <c r="AF24" s="156"/>
      <c r="AG24" s="156"/>
      <c r="AH24" s="192"/>
      <c r="AI24" s="156"/>
      <c r="AJ24" s="156"/>
      <c r="AK24" s="156"/>
      <c r="AL24" s="156"/>
      <c r="AM24" s="192"/>
      <c r="AN24" s="156"/>
      <c r="AO24" s="156"/>
      <c r="AP24" s="156"/>
      <c r="AQ24" s="156"/>
      <c r="AR24" s="192"/>
      <c r="AS24" s="156"/>
      <c r="AT24" s="156"/>
      <c r="AU24" s="156"/>
      <c r="AV24" s="156"/>
      <c r="AW24" s="192"/>
      <c r="AX24" s="155"/>
      <c r="AY24" s="155"/>
      <c r="AZ24" s="155"/>
      <c r="BA24" s="155"/>
      <c r="BB24" s="155"/>
      <c r="BC24" s="155"/>
      <c r="BD24" s="155"/>
      <c r="BE24" s="155"/>
      <c r="BF24" s="155"/>
      <c r="BG24" s="155"/>
      <c r="BH24" s="155"/>
      <c r="BI24" s="155"/>
      <c r="BJ24" s="155"/>
      <c r="BK24" s="155"/>
      <c r="BL24" s="155"/>
      <c r="BM24" s="155"/>
      <c r="BN24" s="155"/>
      <c r="BO24" s="155"/>
      <c r="BP24" s="155"/>
    </row>
    <row r="25" spans="2:68">
      <c r="B25" s="143"/>
      <c r="C25" s="143"/>
      <c r="D25" s="143"/>
      <c r="E25" s="154"/>
      <c r="F25" s="154"/>
      <c r="G25" s="154"/>
      <c r="H25" s="154"/>
      <c r="I25" s="367"/>
      <c r="J25" s="154"/>
      <c r="K25" s="154"/>
      <c r="L25" s="154"/>
      <c r="M25" s="154"/>
      <c r="N25" s="367"/>
      <c r="O25" s="154"/>
      <c r="P25" s="154"/>
      <c r="Q25" s="154"/>
      <c r="R25" s="154"/>
      <c r="S25" s="367"/>
      <c r="T25" s="154"/>
      <c r="U25" s="154"/>
      <c r="V25" s="154"/>
      <c r="W25" s="154"/>
      <c r="X25" s="159"/>
      <c r="Y25" s="154"/>
      <c r="Z25" s="154"/>
      <c r="AA25" s="154"/>
      <c r="AB25" s="154"/>
      <c r="AC25" s="159"/>
      <c r="AD25" s="154"/>
      <c r="AE25" s="154"/>
      <c r="AF25" s="154"/>
      <c r="AG25" s="154"/>
      <c r="AH25" s="159"/>
      <c r="AI25" s="154"/>
      <c r="AJ25" s="154"/>
      <c r="AK25" s="154"/>
      <c r="AL25" s="154"/>
      <c r="AM25" s="159"/>
      <c r="AN25" s="154"/>
      <c r="AO25" s="154"/>
      <c r="AP25" s="154"/>
      <c r="AQ25" s="154"/>
      <c r="AR25" s="159"/>
      <c r="AS25" s="154"/>
      <c r="AT25" s="154"/>
      <c r="AU25" s="154"/>
      <c r="AV25" s="154"/>
      <c r="AW25" s="159"/>
      <c r="AX25" s="143"/>
      <c r="AY25" s="143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  <c r="BJ25" s="143"/>
      <c r="BK25" s="143"/>
      <c r="BL25" s="143"/>
      <c r="BM25" s="143"/>
      <c r="BN25" s="143"/>
      <c r="BO25" s="143"/>
      <c r="BP25" s="143"/>
    </row>
    <row r="26" spans="2:68">
      <c r="B26" s="143"/>
      <c r="C26" s="143"/>
      <c r="D26" s="160" t="s">
        <v>124</v>
      </c>
      <c r="E26" s="161"/>
      <c r="F26" s="161"/>
      <c r="G26" s="161"/>
      <c r="H26" s="161"/>
      <c r="I26" s="176"/>
      <c r="J26" s="161"/>
      <c r="K26" s="161"/>
      <c r="L26" s="161"/>
      <c r="M26" s="161"/>
      <c r="N26" s="176"/>
      <c r="O26" s="161"/>
      <c r="P26" s="161"/>
      <c r="Q26" s="161"/>
      <c r="R26" s="161"/>
      <c r="S26" s="176"/>
      <c r="T26" s="161"/>
      <c r="U26" s="161"/>
      <c r="V26" s="161"/>
      <c r="W26" s="161"/>
      <c r="X26" s="161"/>
      <c r="Y26" s="161"/>
      <c r="Z26" s="161"/>
      <c r="AA26" s="161"/>
      <c r="AB26" s="161"/>
      <c r="AC26" s="161"/>
      <c r="AD26" s="161"/>
      <c r="AE26" s="161"/>
      <c r="AF26" s="161"/>
      <c r="AG26" s="161"/>
      <c r="AH26" s="161"/>
      <c r="AI26" s="161"/>
      <c r="AJ26" s="161"/>
      <c r="AK26" s="161"/>
      <c r="AL26" s="161"/>
      <c r="AM26" s="161"/>
      <c r="AN26" s="161"/>
      <c r="AO26" s="161"/>
      <c r="AP26" s="161"/>
      <c r="AQ26" s="161"/>
      <c r="AR26" s="161"/>
      <c r="AS26" s="161"/>
      <c r="AT26" s="161"/>
      <c r="AU26" s="161"/>
      <c r="AV26" s="161"/>
      <c r="AW26" s="161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</row>
    <row r="27" spans="2:68">
      <c r="B27" s="143"/>
      <c r="C27" s="143"/>
      <c r="D27" s="143"/>
      <c r="E27" s="154"/>
      <c r="F27" s="154"/>
      <c r="G27" s="154"/>
      <c r="H27" s="154"/>
      <c r="I27" s="165"/>
      <c r="J27" s="154"/>
      <c r="K27" s="154"/>
      <c r="L27" s="154"/>
      <c r="M27" s="154"/>
      <c r="O27" s="154"/>
      <c r="P27" s="154"/>
      <c r="Q27" s="154"/>
      <c r="R27" s="154"/>
      <c r="S27" s="165"/>
      <c r="T27" s="154"/>
      <c r="U27" s="154"/>
      <c r="V27" s="154"/>
      <c r="W27" s="154"/>
      <c r="X27" s="154"/>
      <c r="Y27" s="154"/>
      <c r="Z27" s="154"/>
      <c r="AA27" s="154"/>
      <c r="AB27" s="154"/>
      <c r="AC27" s="154"/>
      <c r="AD27" s="154"/>
      <c r="AE27" s="154"/>
      <c r="AF27" s="154"/>
      <c r="AG27" s="154"/>
      <c r="AH27" s="154"/>
      <c r="AI27" s="154"/>
      <c r="AJ27" s="154"/>
      <c r="AK27" s="154"/>
      <c r="AL27" s="154"/>
      <c r="AM27" s="154"/>
      <c r="AN27" s="154"/>
      <c r="AO27" s="154"/>
      <c r="AP27" s="154"/>
      <c r="AQ27" s="154"/>
      <c r="AR27" s="154"/>
      <c r="AS27" s="154"/>
      <c r="AT27" s="154"/>
      <c r="AU27" s="154"/>
      <c r="AV27" s="154"/>
      <c r="AW27" s="154"/>
      <c r="AX27" s="143"/>
      <c r="AY27" s="143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</row>
    <row r="28" spans="2:68">
      <c r="B28" s="143"/>
      <c r="C28" s="143"/>
      <c r="D28" s="162" t="s">
        <v>112</v>
      </c>
      <c r="E28" s="163"/>
      <c r="F28" s="163"/>
      <c r="G28" s="163"/>
      <c r="H28" s="163"/>
      <c r="I28" s="362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4"/>
      <c r="U28" s="164"/>
      <c r="V28" s="164"/>
      <c r="W28" s="164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43"/>
      <c r="AY28" s="143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</row>
    <row r="29" spans="2:68" s="71" customFormat="1">
      <c r="B29" s="146"/>
      <c r="C29" s="146"/>
      <c r="D29" s="146" t="s">
        <v>123</v>
      </c>
      <c r="E29" s="165"/>
      <c r="F29" s="165"/>
      <c r="G29" s="165"/>
      <c r="H29" s="165"/>
      <c r="I29" s="165"/>
      <c r="J29" s="355">
        <f>'SCENARIO ANALYSIS'!E8</f>
        <v>2052</v>
      </c>
      <c r="K29" s="355">
        <f>'SCENARIO ANALYSIS'!F8</f>
        <v>1966</v>
      </c>
      <c r="L29" s="355">
        <f>'SCENARIO ANALYSIS'!G8</f>
        <v>2205</v>
      </c>
      <c r="M29" s="355">
        <f>'SCENARIO ANALYSIS'!H8</f>
        <v>2469</v>
      </c>
      <c r="N29" s="356">
        <f>'SCENARIO ANALYSIS'!I8</f>
        <v>8692</v>
      </c>
      <c r="O29" s="355">
        <f>'SCENARIO ANALYSIS'!J8</f>
        <v>2201</v>
      </c>
      <c r="P29" s="355">
        <f>'SCENARIO ANALYSIS'!K8</f>
        <v>2196</v>
      </c>
      <c r="Q29" s="355">
        <f>'SCENARIO ANALYSIS'!L8</f>
        <v>2102</v>
      </c>
      <c r="R29" s="355">
        <f>'SCENARIO ANALYSIS'!M8</f>
        <v>2102</v>
      </c>
      <c r="S29" s="356">
        <f>'SCENARIO ANALYSIS'!N8</f>
        <v>8601</v>
      </c>
      <c r="T29" s="355">
        <f>'SCENARIO ANALYSIS'!O8</f>
        <v>1983</v>
      </c>
      <c r="U29" s="355">
        <f>'SCENARIO ANALYSIS'!P8</f>
        <v>1973</v>
      </c>
      <c r="V29" s="355">
        <f>'SCENARIO ANALYSIS'!Q8</f>
        <v>1901</v>
      </c>
      <c r="W29" s="355">
        <f>'SCENARIO ANALYSIS'!R8</f>
        <v>1996.8999999999999</v>
      </c>
      <c r="X29" s="356">
        <f>'SCENARIO ANALYSIS'!S8</f>
        <v>7853.9</v>
      </c>
      <c r="Y29" s="355">
        <f>'SCENARIO ANALYSIS'!T8</f>
        <v>1811.3627369394164</v>
      </c>
      <c r="Z29" s="355">
        <f>'SCENARIO ANALYSIS'!U8</f>
        <v>1808.3897348381311</v>
      </c>
      <c r="AA29" s="355">
        <f>'SCENARIO ANALYSIS'!V8</f>
        <v>1751.0068148189084</v>
      </c>
      <c r="AB29" s="355">
        <f>'SCENARIO ANALYSIS'!W8</f>
        <v>1847.6876108047593</v>
      </c>
      <c r="AC29" s="356">
        <f>'SCENARIO ANALYSIS'!X8</f>
        <v>7218.4468974012152</v>
      </c>
      <c r="AD29" s="355">
        <f>'SCENARIO ANALYSIS'!Y8</f>
        <v>1670.2595557390187</v>
      </c>
      <c r="AE29" s="355">
        <f>'SCENARIO ANALYSIS'!Z8</f>
        <v>1672.6008030637083</v>
      </c>
      <c r="AF29" s="355">
        <f>'SCENARIO ANALYSIS'!AA8</f>
        <v>1626.6642685350382</v>
      </c>
      <c r="AG29" s="355">
        <f>'SCENARIO ANALYSIS'!AB8</f>
        <v>1723.4309657022695</v>
      </c>
      <c r="AH29" s="356">
        <f>'SCENARIO ANALYSIS'!AC8</f>
        <v>6692.9555930400347</v>
      </c>
      <c r="AI29" s="355">
        <f>'SCENARIO ANALYSIS'!AD8</f>
        <v>1553.1592981566971</v>
      </c>
      <c r="AJ29" s="355">
        <f>'SCENARIO ANALYSIS'!AE8</f>
        <v>1559.567309916805</v>
      </c>
      <c r="AK29" s="355">
        <f>'SCENARIO ANALYSIS'!AF8</f>
        <v>1522.7028117045011</v>
      </c>
      <c r="AL29" s="355">
        <f>'SCENARIO ANALYSIS'!AG8</f>
        <v>1619.1205975694377</v>
      </c>
      <c r="AM29" s="356">
        <f>'SCENARIO ANALYSIS'!AH8</f>
        <v>6254.5500173474411</v>
      </c>
      <c r="AN29" s="355">
        <f>'SCENARIO ANALYSIS'!AI8</f>
        <v>1455.1578720130524</v>
      </c>
      <c r="AO29" s="355">
        <f>'SCENARIO ANALYSIS'!AJ8</f>
        <v>1464.712036343311</v>
      </c>
      <c r="AP29" s="355">
        <f>'SCENARIO ANALYSIS'!AK8</f>
        <v>1435.1173368661136</v>
      </c>
      <c r="AQ29" s="355">
        <f>'SCENARIO ANALYSIS'!AL8</f>
        <v>1530.9232969229399</v>
      </c>
      <c r="AR29" s="356">
        <f>'SCENARIO ANALYSIS'!AM8</f>
        <v>5885.9105421454169</v>
      </c>
      <c r="AS29" s="355">
        <f>'SCENARIO ANALYSIS'!AN8</f>
        <v>1372.5219233363066</v>
      </c>
      <c r="AT29" s="355">
        <f>'SCENARIO ANALYSIS'!AO8</f>
        <v>1384.5346089073439</v>
      </c>
      <c r="AU29" s="355">
        <f>'SCENARIO ANALYSIS'!AP8</f>
        <v>1360.8245141374509</v>
      </c>
      <c r="AV29" s="355">
        <f>'SCENARIO ANALYSIS'!AQ8</f>
        <v>1455.8696089893056</v>
      </c>
      <c r="AW29" s="356">
        <f>'SCENARIO ANALYSIS'!AR8</f>
        <v>5573.750655370407</v>
      </c>
      <c r="AX29" s="146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</row>
    <row r="30" spans="2:68" s="73" customFormat="1">
      <c r="B30" s="166"/>
      <c r="C30" s="166"/>
      <c r="D30" s="166" t="s">
        <v>125</v>
      </c>
      <c r="E30" s="167"/>
      <c r="F30" s="167"/>
      <c r="G30" s="167"/>
      <c r="H30" s="167"/>
      <c r="I30" s="167"/>
      <c r="J30" s="167"/>
      <c r="K30" s="167"/>
      <c r="L30" s="167"/>
      <c r="M30" s="167"/>
      <c r="N30" s="189"/>
      <c r="O30" s="357">
        <f>'SCENARIO ANALYSIS'!J44</f>
        <v>0.03</v>
      </c>
      <c r="P30" s="357">
        <f>'SCENARIO ANALYSIS'!K44</f>
        <v>2.8000000000000001E-2</v>
      </c>
      <c r="Q30" s="357">
        <f>'SCENARIO ANALYSIS'!L44</f>
        <v>2.5000000000000001E-2</v>
      </c>
      <c r="R30" s="357">
        <f>'SCENARIO ANALYSIS'!M44</f>
        <v>0.03</v>
      </c>
      <c r="S30" s="358">
        <f>SUM(O31:R31)/S29</f>
        <v>2.8267410766189979E-2</v>
      </c>
      <c r="T30" s="357">
        <f>'SCENARIO ANALYSIS'!O44</f>
        <v>2.7E-2</v>
      </c>
      <c r="U30" s="357">
        <f>'SCENARIO ANALYSIS'!P44</f>
        <v>2.5000000000000001E-2</v>
      </c>
      <c r="V30" s="357">
        <f>'SCENARIO ANALYSIS'!Q44</f>
        <v>2.1999999999999999E-2</v>
      </c>
      <c r="W30" s="357">
        <f>'SCENARIO ANALYSIS'!R44</f>
        <v>0.03</v>
      </c>
      <c r="X30" s="358">
        <f>X31/X29</f>
        <v>2.6050115229376485E-2</v>
      </c>
      <c r="Y30" s="357">
        <f>'SCENARIO ANALYSIS'!T44</f>
        <v>2.6000000000000002E-2</v>
      </c>
      <c r="Z30" s="357">
        <f>'SCENARIO ANALYSIS'!U44</f>
        <v>2.5750000000000002E-2</v>
      </c>
      <c r="AA30" s="357">
        <f>'SCENARIO ANALYSIS'!V44</f>
        <v>2.5937500000000002E-2</v>
      </c>
      <c r="AB30" s="357">
        <f>'SCENARIO ANALYSIS'!W44</f>
        <v>2.6921875000000001E-2</v>
      </c>
      <c r="AC30" s="358">
        <f>AC31/AC29</f>
        <v>2.6158178299681888E-2</v>
      </c>
      <c r="AD30" s="357">
        <f>'SCENARIO ANALYSIS'!Y44</f>
        <v>2.6000000000000002E-2</v>
      </c>
      <c r="AE30" s="357">
        <f>'SCENARIO ANALYSIS'!Z44</f>
        <v>2.5750000000000002E-2</v>
      </c>
      <c r="AF30" s="357">
        <f>'SCENARIO ANALYSIS'!AA44</f>
        <v>2.5937500000000002E-2</v>
      </c>
      <c r="AG30" s="357">
        <f>'SCENARIO ANALYSIS'!AB44</f>
        <v>2.6921875000000001E-2</v>
      </c>
      <c r="AH30" s="358">
        <f>AH31/AH29</f>
        <v>2.6159715866794189E-2</v>
      </c>
      <c r="AI30" s="357">
        <f>'SCENARIO ANALYSIS'!AD44</f>
        <v>2.6000000000000002E-2</v>
      </c>
      <c r="AJ30" s="357">
        <f>'SCENARIO ANALYSIS'!AE44</f>
        <v>2.5750000000000002E-2</v>
      </c>
      <c r="AK30" s="357">
        <f>'SCENARIO ANALYSIS'!AF44</f>
        <v>2.5937500000000002E-2</v>
      </c>
      <c r="AL30" s="357">
        <f>'SCENARIO ANALYSIS'!AG44</f>
        <v>2.6921875000000001E-2</v>
      </c>
      <c r="AM30" s="358">
        <f>AM31/AM29</f>
        <v>2.6161093291264606E-2</v>
      </c>
      <c r="AN30" s="357">
        <f>'SCENARIO ANALYSIS'!AI44</f>
        <v>2.6000000000000002E-2</v>
      </c>
      <c r="AO30" s="357">
        <f>'SCENARIO ANALYSIS'!AJ44</f>
        <v>2.5750000000000002E-2</v>
      </c>
      <c r="AP30" s="357">
        <f>'SCENARIO ANALYSIS'!AK44</f>
        <v>2.5937500000000002E-2</v>
      </c>
      <c r="AQ30" s="357">
        <f>'SCENARIO ANALYSIS'!AL44</f>
        <v>2.6921875000000001E-2</v>
      </c>
      <c r="AR30" s="358">
        <f>AR31/AR29</f>
        <v>2.6162327827592608E-2</v>
      </c>
      <c r="AS30" s="357">
        <f>'SCENARIO ANALYSIS'!AN44</f>
        <v>2.6000000000000002E-2</v>
      </c>
      <c r="AT30" s="357">
        <f>'SCENARIO ANALYSIS'!AO44</f>
        <v>2.5750000000000002E-2</v>
      </c>
      <c r="AU30" s="357">
        <f>'SCENARIO ANALYSIS'!AP44</f>
        <v>2.5937500000000002E-2</v>
      </c>
      <c r="AV30" s="357">
        <f>'SCENARIO ANALYSIS'!AQ44</f>
        <v>2.6921875000000001E-2</v>
      </c>
      <c r="AW30" s="358">
        <f>AW31/AW29</f>
        <v>2.6163434761931607E-2</v>
      </c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</row>
    <row r="31" spans="2:68" s="75" customFormat="1">
      <c r="B31" s="168"/>
      <c r="C31" s="168"/>
      <c r="D31" s="168" t="s">
        <v>126</v>
      </c>
      <c r="E31" s="169"/>
      <c r="F31" s="169"/>
      <c r="G31" s="169"/>
      <c r="H31" s="169"/>
      <c r="I31" s="169"/>
      <c r="J31" s="169"/>
      <c r="K31" s="169"/>
      <c r="L31" s="169"/>
      <c r="M31" s="169"/>
      <c r="N31" s="190"/>
      <c r="O31" s="360">
        <f>O29*O30</f>
        <v>66.03</v>
      </c>
      <c r="P31" s="360">
        <f t="shared" ref="P31:W31" si="147">P29*P30</f>
        <v>61.488</v>
      </c>
      <c r="Q31" s="360">
        <f t="shared" si="147"/>
        <v>52.550000000000004</v>
      </c>
      <c r="R31" s="360">
        <f t="shared" si="147"/>
        <v>63.059999999999995</v>
      </c>
      <c r="S31" s="359">
        <f>SUM(O31:R31)</f>
        <v>243.12800000000001</v>
      </c>
      <c r="T31" s="360">
        <f t="shared" si="147"/>
        <v>53.540999999999997</v>
      </c>
      <c r="U31" s="360">
        <f t="shared" si="147"/>
        <v>49.325000000000003</v>
      </c>
      <c r="V31" s="360">
        <f t="shared" si="147"/>
        <v>41.821999999999996</v>
      </c>
      <c r="W31" s="360">
        <f t="shared" si="147"/>
        <v>59.906999999999996</v>
      </c>
      <c r="X31" s="359">
        <f>SUM(T31:W31)</f>
        <v>204.59499999999997</v>
      </c>
      <c r="Y31" s="360">
        <f t="shared" ref="Y31:AB31" si="148">Y29*Y30</f>
        <v>47.09543116042483</v>
      </c>
      <c r="Z31" s="360">
        <f t="shared" si="148"/>
        <v>46.566035672081881</v>
      </c>
      <c r="AA31" s="360">
        <f t="shared" si="148"/>
        <v>45.416739259365443</v>
      </c>
      <c r="AB31" s="360">
        <f t="shared" si="148"/>
        <v>49.743214897134379</v>
      </c>
      <c r="AC31" s="359">
        <f>SUM(Y31:AB31)</f>
        <v>188.82142098900653</v>
      </c>
      <c r="AD31" s="360">
        <f t="shared" ref="AD31:AG31" si="149">AD29*AD30</f>
        <v>43.426748449214486</v>
      </c>
      <c r="AE31" s="360">
        <f t="shared" si="149"/>
        <v>43.06947067889049</v>
      </c>
      <c r="AF31" s="360">
        <f t="shared" si="149"/>
        <v>42.191604465127554</v>
      </c>
      <c r="AG31" s="360">
        <f t="shared" si="149"/>
        <v>46.397993029765793</v>
      </c>
      <c r="AH31" s="359">
        <f>SUM(AD31:AG31)</f>
        <v>175.08581662299829</v>
      </c>
      <c r="AI31" s="360">
        <f t="shared" ref="AI31:AL31" si="150">AI29*AI30</f>
        <v>40.382141752074126</v>
      </c>
      <c r="AJ31" s="360">
        <f t="shared" si="150"/>
        <v>40.15885823035773</v>
      </c>
      <c r="AK31" s="360">
        <f t="shared" si="150"/>
        <v>39.4951041785855</v>
      </c>
      <c r="AL31" s="360">
        <f t="shared" si="150"/>
        <v>43.589762337689706</v>
      </c>
      <c r="AM31" s="359">
        <f>SUM(AI31:AL31)</f>
        <v>163.62586649870707</v>
      </c>
      <c r="AN31" s="360">
        <f t="shared" ref="AN31:AQ31" si="151">AN29*AN30</f>
        <v>37.834104672339365</v>
      </c>
      <c r="AO31" s="360">
        <f t="shared" si="151"/>
        <v>37.716334935840258</v>
      </c>
      <c r="AP31" s="360">
        <f t="shared" si="151"/>
        <v>37.223355924964828</v>
      </c>
      <c r="AQ31" s="360">
        <f t="shared" si="151"/>
        <v>41.215325634347273</v>
      </c>
      <c r="AR31" s="359">
        <f>SUM(AN31:AQ31)</f>
        <v>153.98912116749173</v>
      </c>
      <c r="AS31" s="360">
        <f t="shared" ref="AS31:AV31" si="152">AS29*AS30</f>
        <v>35.685570006743973</v>
      </c>
      <c r="AT31" s="360">
        <f t="shared" si="152"/>
        <v>35.65176617936411</v>
      </c>
      <c r="AU31" s="360">
        <f t="shared" si="152"/>
        <v>35.296385835440134</v>
      </c>
      <c r="AV31" s="360">
        <f t="shared" si="152"/>
        <v>39.194739629508966</v>
      </c>
      <c r="AW31" s="359">
        <f>SUM(AS31:AV31)</f>
        <v>145.82846165105718</v>
      </c>
      <c r="AX31" s="168"/>
      <c r="AY31" s="168"/>
      <c r="AZ31" s="168"/>
      <c r="BA31" s="168"/>
      <c r="BB31" s="168"/>
      <c r="BC31" s="168"/>
      <c r="BD31" s="168"/>
      <c r="BE31" s="168"/>
      <c r="BF31" s="168"/>
      <c r="BG31" s="168"/>
      <c r="BH31" s="168"/>
      <c r="BI31" s="168"/>
      <c r="BJ31" s="168"/>
      <c r="BK31" s="168"/>
      <c r="BL31" s="168"/>
      <c r="BM31" s="168"/>
      <c r="BN31" s="168"/>
      <c r="BO31" s="168"/>
      <c r="BP31" s="168"/>
    </row>
    <row r="32" spans="2:68">
      <c r="B32" s="143"/>
      <c r="C32" s="143"/>
      <c r="D32" s="143"/>
      <c r="E32" s="154"/>
      <c r="F32" s="154"/>
      <c r="G32" s="154"/>
      <c r="H32" s="154"/>
      <c r="I32" s="165"/>
      <c r="J32" s="154"/>
      <c r="K32" s="154"/>
      <c r="L32" s="154"/>
      <c r="M32" s="154"/>
      <c r="N32" s="367"/>
      <c r="O32" s="154"/>
      <c r="P32" s="154"/>
      <c r="Q32" s="154"/>
      <c r="R32" s="154"/>
      <c r="S32" s="367"/>
      <c r="T32" s="154"/>
      <c r="U32" s="154"/>
      <c r="V32" s="154"/>
      <c r="W32" s="154"/>
      <c r="X32" s="367"/>
      <c r="Y32" s="154"/>
      <c r="Z32" s="154"/>
      <c r="AA32" s="154"/>
      <c r="AB32" s="154"/>
      <c r="AC32" s="367"/>
      <c r="AD32" s="154"/>
      <c r="AE32" s="154"/>
      <c r="AF32" s="154"/>
      <c r="AG32" s="154"/>
      <c r="AH32" s="367"/>
      <c r="AI32" s="154"/>
      <c r="AJ32" s="154"/>
      <c r="AK32" s="154"/>
      <c r="AL32" s="154"/>
      <c r="AM32" s="367"/>
      <c r="AN32" s="154"/>
      <c r="AO32" s="154"/>
      <c r="AP32" s="154"/>
      <c r="AQ32" s="154"/>
      <c r="AR32" s="367"/>
      <c r="AS32" s="154"/>
      <c r="AT32" s="154"/>
      <c r="AU32" s="154"/>
      <c r="AV32" s="154"/>
      <c r="AW32" s="367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</row>
    <row r="33" spans="2:68">
      <c r="B33" s="143"/>
      <c r="C33" s="143"/>
      <c r="D33" s="170" t="s">
        <v>113</v>
      </c>
      <c r="E33" s="171"/>
      <c r="F33" s="171"/>
      <c r="G33" s="171"/>
      <c r="H33" s="171"/>
      <c r="I33" s="368"/>
      <c r="J33" s="171"/>
      <c r="K33" s="171"/>
      <c r="L33" s="171"/>
      <c r="M33" s="171"/>
      <c r="N33" s="374"/>
      <c r="O33" s="171"/>
      <c r="P33" s="171"/>
      <c r="Q33" s="171"/>
      <c r="R33" s="171"/>
      <c r="S33" s="374"/>
      <c r="T33" s="171"/>
      <c r="U33" s="171"/>
      <c r="V33" s="171"/>
      <c r="W33" s="171"/>
      <c r="X33" s="374"/>
      <c r="Y33" s="171"/>
      <c r="Z33" s="171"/>
      <c r="AA33" s="171"/>
      <c r="AB33" s="171"/>
      <c r="AC33" s="374"/>
      <c r="AD33" s="171"/>
      <c r="AE33" s="171"/>
      <c r="AF33" s="171"/>
      <c r="AG33" s="171"/>
      <c r="AH33" s="374"/>
      <c r="AI33" s="171"/>
      <c r="AJ33" s="171"/>
      <c r="AK33" s="171"/>
      <c r="AL33" s="171"/>
      <c r="AM33" s="374"/>
      <c r="AN33" s="171"/>
      <c r="AO33" s="171"/>
      <c r="AP33" s="171"/>
      <c r="AQ33" s="171"/>
      <c r="AR33" s="374"/>
      <c r="AS33" s="171"/>
      <c r="AT33" s="171"/>
      <c r="AU33" s="171"/>
      <c r="AV33" s="171"/>
      <c r="AW33" s="374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</row>
    <row r="34" spans="2:68" s="71" customFormat="1">
      <c r="B34" s="146"/>
      <c r="C34" s="146"/>
      <c r="D34" s="146" t="s">
        <v>123</v>
      </c>
      <c r="E34" s="165"/>
      <c r="F34" s="165"/>
      <c r="G34" s="165"/>
      <c r="H34" s="165"/>
      <c r="I34" s="165"/>
      <c r="J34" s="355">
        <f>'SCENARIO ANALYSIS'!E16</f>
        <v>1861</v>
      </c>
      <c r="K34" s="355">
        <f>'SCENARIO ANALYSIS'!F16</f>
        <v>1565</v>
      </c>
      <c r="L34" s="355">
        <f>'SCENARIO ANALYSIS'!G16</f>
        <v>2011</v>
      </c>
      <c r="M34" s="355">
        <f>'SCENARIO ANALYSIS'!H16</f>
        <v>2058</v>
      </c>
      <c r="N34" s="356">
        <f>'SCENARIO ANALYSIS'!I16</f>
        <v>7495</v>
      </c>
      <c r="O34" s="355">
        <f>'SCENARIO ANALYSIS'!J16</f>
        <v>1364</v>
      </c>
      <c r="P34" s="355">
        <f>'SCENARIO ANALYSIS'!K16</f>
        <v>1314</v>
      </c>
      <c r="Q34" s="355">
        <f>'SCENARIO ANALYSIS'!L16</f>
        <v>1665</v>
      </c>
      <c r="R34" s="355">
        <f>'SCENARIO ANALYSIS'!M16</f>
        <v>1849</v>
      </c>
      <c r="S34" s="356">
        <f>'SCENARIO ANALYSIS'!N16</f>
        <v>6192</v>
      </c>
      <c r="T34" s="355">
        <f>'SCENARIO ANALYSIS'!O16</f>
        <v>1535</v>
      </c>
      <c r="U34" s="355">
        <f>'SCENARIO ANALYSIS'!P16</f>
        <v>1512</v>
      </c>
      <c r="V34" s="355">
        <f>'SCENARIO ANALYSIS'!Q16</f>
        <v>1755</v>
      </c>
      <c r="W34" s="355">
        <f>'SCENARIO ANALYSIS'!R16</f>
        <v>1849</v>
      </c>
      <c r="X34" s="356">
        <f>'SCENARIO ANALYSIS'!S16</f>
        <v>6651</v>
      </c>
      <c r="Y34" s="355">
        <f>'SCENARIO ANALYSIS'!T16</f>
        <v>1661.6780065301111</v>
      </c>
      <c r="Z34" s="355">
        <f>'SCENARIO ANALYSIS'!U16</f>
        <v>1620.5863114399901</v>
      </c>
      <c r="AA34" s="355">
        <f>'SCENARIO ANALYSIS'!V16</f>
        <v>1846.4340899531412</v>
      </c>
      <c r="AB34" s="355">
        <f>'SCENARIO ANALYSIS'!W16</f>
        <v>1944.4277815500934</v>
      </c>
      <c r="AC34" s="356">
        <f>'SCENARIO ANALYSIS'!X16</f>
        <v>7073.1261894733361</v>
      </c>
      <c r="AD34" s="355">
        <f>'SCENARIO ANALYSIS'!Y16</f>
        <v>1785.0970629639526</v>
      </c>
      <c r="AE34" s="355">
        <f>'SCENARIO ANALYSIS'!Z16</f>
        <v>1725.3324363979707</v>
      </c>
      <c r="AF34" s="355">
        <f>'SCENARIO ANALYSIS'!AA16</f>
        <v>1933.0120492727935</v>
      </c>
      <c r="AG34" s="355">
        <f>'SCENARIO ANALYSIS'!AB16</f>
        <v>2034.745351382395</v>
      </c>
      <c r="AH34" s="356">
        <f>'SCENARIO ANALYSIS'!AC16</f>
        <v>7478.1869000171118</v>
      </c>
      <c r="AI34" s="355">
        <f>'SCENARIO ANALYSIS'!AD16</f>
        <v>1904.4243302559485</v>
      </c>
      <c r="AJ34" s="355">
        <f>'SCENARIO ANALYSIS'!AE16</f>
        <v>1825.6971606530922</v>
      </c>
      <c r="AK34" s="355">
        <f>'SCENARIO ANALYSIS'!AF16</f>
        <v>2014.5858327775848</v>
      </c>
      <c r="AL34" s="355">
        <f>'SCENARIO ANALYSIS'!AG16</f>
        <v>2119.8068442274184</v>
      </c>
      <c r="AM34" s="356">
        <f>'SCENARIO ANALYSIS'!AH16</f>
        <v>7864.5141679140434</v>
      </c>
      <c r="AN34" s="355">
        <f>'SCENARIO ANALYSIS'!AI16</f>
        <v>2018.9978065266776</v>
      </c>
      <c r="AO34" s="355">
        <f>'SCENARIO ANALYSIS'!AJ16</f>
        <v>1921.279918742523</v>
      </c>
      <c r="AP34" s="355">
        <f>'SCENARIO ANALYSIS'!AK16</f>
        <v>2091.1004358670889</v>
      </c>
      <c r="AQ34" s="355">
        <f>'SCENARIO ANALYSIS'!AL16</f>
        <v>2199.5625449255522</v>
      </c>
      <c r="AR34" s="356">
        <f>'SCENARIO ANALYSIS'!AM16</f>
        <v>8230.9407060618414</v>
      </c>
      <c r="AS34" s="355">
        <f>'SCENARIO ANALYSIS'!AN16</f>
        <v>2128.3175806135191</v>
      </c>
      <c r="AT34" s="355">
        <f>'SCENARIO ANALYSIS'!AO16</f>
        <v>2011.8081366133333</v>
      </c>
      <c r="AU34" s="355">
        <f>'SCENARIO ANALYSIS'!AP16</f>
        <v>2162.579022453323</v>
      </c>
      <c r="AV34" s="355">
        <f>'SCENARIO ANALYSIS'!AQ16</f>
        <v>2274.0433341681492</v>
      </c>
      <c r="AW34" s="356">
        <f>'SCENARIO ANALYSIS'!AR16</f>
        <v>8576.7480738483246</v>
      </c>
      <c r="AX34" s="146"/>
      <c r="AY34" s="146"/>
      <c r="AZ34" s="146"/>
      <c r="BA34" s="146"/>
      <c r="BB34" s="146"/>
      <c r="BC34" s="146"/>
      <c r="BD34" s="146"/>
      <c r="BE34" s="146"/>
      <c r="BF34" s="146"/>
      <c r="BG34" s="146"/>
      <c r="BH34" s="146"/>
      <c r="BI34" s="146"/>
      <c r="BJ34" s="146"/>
      <c r="BK34" s="146"/>
      <c r="BL34" s="146"/>
      <c r="BM34" s="146"/>
      <c r="BN34" s="146"/>
      <c r="BO34" s="146"/>
      <c r="BP34" s="146"/>
    </row>
    <row r="35" spans="2:68" s="73" customFormat="1">
      <c r="B35" s="166"/>
      <c r="C35" s="166"/>
      <c r="D35" s="166" t="s">
        <v>125</v>
      </c>
      <c r="E35" s="167"/>
      <c r="F35" s="167"/>
      <c r="G35" s="167"/>
      <c r="H35" s="167"/>
      <c r="I35" s="167"/>
      <c r="J35" s="167"/>
      <c r="K35" s="167"/>
      <c r="L35" s="167"/>
      <c r="M35" s="167"/>
      <c r="N35" s="189"/>
      <c r="O35" s="357">
        <f>'SCENARIO ANALYSIS'!J52</f>
        <v>2.3E-2</v>
      </c>
      <c r="P35" s="357">
        <f>'SCENARIO ANALYSIS'!K52</f>
        <v>1.9E-2</v>
      </c>
      <c r="Q35" s="357">
        <f>'SCENARIO ANALYSIS'!L52</f>
        <v>3.3000000000000002E-2</v>
      </c>
      <c r="R35" s="357">
        <f>'SCENARIO ANALYSIS'!M52</f>
        <v>3.2000000000000001E-2</v>
      </c>
      <c r="S35" s="358">
        <f>S36/S34</f>
        <v>2.7527616279069765E-2</v>
      </c>
      <c r="T35" s="357">
        <f>'SCENARIO ANALYSIS'!O52</f>
        <v>2.7E-2</v>
      </c>
      <c r="U35" s="357">
        <f>'SCENARIO ANALYSIS'!P52</f>
        <v>1.2E-2</v>
      </c>
      <c r="V35" s="357">
        <f>'SCENARIO ANALYSIS'!Q52</f>
        <v>1.7999999999999999E-2</v>
      </c>
      <c r="W35" s="357">
        <f>'SCENARIO ANALYSIS'!R52</f>
        <v>0.03</v>
      </c>
      <c r="X35" s="358">
        <f>X36/X34</f>
        <v>2.2049165539016688E-2</v>
      </c>
      <c r="Y35" s="357">
        <f>'SCENARIO ANALYSIS'!T52</f>
        <v>2.1749999999999999E-2</v>
      </c>
      <c r="Z35" s="357">
        <f>'SCENARIO ANALYSIS'!U52</f>
        <v>2.0437499999999997E-2</v>
      </c>
      <c r="AA35" s="357">
        <f>'SCENARIO ANALYSIS'!V52</f>
        <v>2.2546875000000001E-2</v>
      </c>
      <c r="AB35" s="357">
        <f>'SCENARIO ANALYSIS'!W52</f>
        <v>2.3683593749999995E-2</v>
      </c>
      <c r="AC35" s="358">
        <f>AC36/AC34</f>
        <v>2.2188857013751249E-2</v>
      </c>
      <c r="AD35" s="357">
        <f>'SCENARIO ANALYSIS'!Y52</f>
        <v>2.1749999999999999E-2</v>
      </c>
      <c r="AE35" s="357">
        <f>'SCENARIO ANALYSIS'!Z52</f>
        <v>2.0437499999999997E-2</v>
      </c>
      <c r="AF35" s="357">
        <f>'SCENARIO ANALYSIS'!AA52</f>
        <v>2.2546875000000001E-2</v>
      </c>
      <c r="AG35" s="357">
        <f>'SCENARIO ANALYSIS'!AB52</f>
        <v>2.3683593749999995E-2</v>
      </c>
      <c r="AH35" s="358">
        <f>AH36/AH34</f>
        <v>2.217928066537881E-2</v>
      </c>
      <c r="AI35" s="357">
        <f>'SCENARIO ANALYSIS'!AD52</f>
        <v>2.1749999999999999E-2</v>
      </c>
      <c r="AJ35" s="357">
        <f>'SCENARIO ANALYSIS'!AE52</f>
        <v>2.0437499999999997E-2</v>
      </c>
      <c r="AK35" s="357">
        <f>'SCENARIO ANALYSIS'!AF52</f>
        <v>2.2546875000000001E-2</v>
      </c>
      <c r="AL35" s="357">
        <f>'SCENARIO ANALYSIS'!AG52</f>
        <v>2.3683593749999995E-2</v>
      </c>
      <c r="AM35" s="358">
        <f>AM36/AM34</f>
        <v>2.2170622400406993E-2</v>
      </c>
      <c r="AN35" s="357">
        <f>'SCENARIO ANALYSIS'!AI52</f>
        <v>2.1749999999999999E-2</v>
      </c>
      <c r="AO35" s="357">
        <f>'SCENARIO ANALYSIS'!AJ52</f>
        <v>2.0437499999999997E-2</v>
      </c>
      <c r="AP35" s="357">
        <f>'SCENARIO ANALYSIS'!AK52</f>
        <v>2.2546875000000001E-2</v>
      </c>
      <c r="AQ35" s="357">
        <f>'SCENARIO ANALYSIS'!AL52</f>
        <v>2.3683593749999995E-2</v>
      </c>
      <c r="AR35" s="358">
        <f>AR36/AR34</f>
        <v>2.2162799250707983E-2</v>
      </c>
      <c r="AS35" s="357">
        <f>'SCENARIO ANALYSIS'!AN52</f>
        <v>2.1749999999999999E-2</v>
      </c>
      <c r="AT35" s="357">
        <f>'SCENARIO ANALYSIS'!AO52</f>
        <v>2.0437499999999997E-2</v>
      </c>
      <c r="AU35" s="357">
        <f>'SCENARIO ANALYSIS'!AP52</f>
        <v>2.2546875000000001E-2</v>
      </c>
      <c r="AV35" s="357">
        <f>'SCENARIO ANALYSIS'!AQ52</f>
        <v>2.3683593749999995E-2</v>
      </c>
      <c r="AW35" s="358">
        <f>AW36/AW34</f>
        <v>2.2155734542675894E-2</v>
      </c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</row>
    <row r="36" spans="2:68" s="75" customFormat="1">
      <c r="B36" s="168"/>
      <c r="C36" s="168"/>
      <c r="D36" s="168" t="s">
        <v>126</v>
      </c>
      <c r="E36" s="169"/>
      <c r="F36" s="169"/>
      <c r="G36" s="169"/>
      <c r="H36" s="169"/>
      <c r="I36" s="169"/>
      <c r="J36" s="169"/>
      <c r="K36" s="169"/>
      <c r="L36" s="169"/>
      <c r="M36" s="169"/>
      <c r="N36" s="190"/>
      <c r="O36" s="360">
        <f>O34*O35</f>
        <v>31.372</v>
      </c>
      <c r="P36" s="360">
        <f t="shared" ref="P36:R36" si="153">P34*P35</f>
        <v>24.966000000000001</v>
      </c>
      <c r="Q36" s="360">
        <f t="shared" si="153"/>
        <v>54.945</v>
      </c>
      <c r="R36" s="360">
        <f t="shared" si="153"/>
        <v>59.167999999999999</v>
      </c>
      <c r="S36" s="359">
        <f>SUM(O36:R36)</f>
        <v>170.45099999999999</v>
      </c>
      <c r="T36" s="360">
        <f>T34*T35</f>
        <v>41.445</v>
      </c>
      <c r="U36" s="360">
        <f t="shared" ref="U36" si="154">U34*U35</f>
        <v>18.144000000000002</v>
      </c>
      <c r="V36" s="360">
        <f t="shared" ref="V36" si="155">V34*V35</f>
        <v>31.589999999999996</v>
      </c>
      <c r="W36" s="360">
        <f t="shared" ref="W36" si="156">W34*W35</f>
        <v>55.47</v>
      </c>
      <c r="X36" s="359">
        <f>SUM(T36:W36)</f>
        <v>146.649</v>
      </c>
      <c r="Y36" s="360">
        <f t="shared" ref="Y36:AB36" si="157">Y34*Y35</f>
        <v>36.141496642029914</v>
      </c>
      <c r="Z36" s="360">
        <f t="shared" si="157"/>
        <v>33.120732740054791</v>
      </c>
      <c r="AA36" s="360">
        <f t="shared" si="157"/>
        <v>41.631318621912236</v>
      </c>
      <c r="AB36" s="360">
        <f t="shared" si="157"/>
        <v>46.051037654446148</v>
      </c>
      <c r="AC36" s="359">
        <f>SUM(Y36:AB36)</f>
        <v>156.94458565844309</v>
      </c>
      <c r="AD36" s="360">
        <f t="shared" ref="AD36:AG36" si="158">AD34*AD35</f>
        <v>38.825861119465962</v>
      </c>
      <c r="AE36" s="360">
        <f t="shared" si="158"/>
        <v>35.261481668883519</v>
      </c>
      <c r="AF36" s="360">
        <f t="shared" si="158"/>
        <v>43.583381048447521</v>
      </c>
      <c r="AG36" s="360">
        <f t="shared" si="158"/>
        <v>48.190082286841637</v>
      </c>
      <c r="AH36" s="359">
        <f>SUM(AD36:AG36)</f>
        <v>165.86080612363864</v>
      </c>
      <c r="AI36" s="360">
        <f t="shared" ref="AI36:AL36" si="159">AI34*AI35</f>
        <v>41.421229183066878</v>
      </c>
      <c r="AJ36" s="360">
        <f t="shared" si="159"/>
        <v>37.312685720847568</v>
      </c>
      <c r="AK36" s="360">
        <f t="shared" si="159"/>
        <v>45.422614948407109</v>
      </c>
      <c r="AL36" s="360">
        <f t="shared" si="159"/>
        <v>50.204644127151703</v>
      </c>
      <c r="AM36" s="359">
        <f>SUM(AI36:AL36)</f>
        <v>174.36117397947325</v>
      </c>
      <c r="AN36" s="360">
        <f t="shared" ref="AN36:AQ36" si="160">AN34*AN35</f>
        <v>43.913202291955237</v>
      </c>
      <c r="AO36" s="360">
        <f t="shared" si="160"/>
        <v>39.266158339300311</v>
      </c>
      <c r="AP36" s="360">
        <f t="shared" si="160"/>
        <v>47.147780139940771</v>
      </c>
      <c r="AQ36" s="360">
        <f t="shared" si="160"/>
        <v>52.093545741732889</v>
      </c>
      <c r="AR36" s="359">
        <f>SUM(AN36:AQ36)</f>
        <v>182.42068651292922</v>
      </c>
      <c r="AS36" s="360">
        <f t="shared" ref="AS36:AV36" si="161">AS34*AS35</f>
        <v>46.290907378344038</v>
      </c>
      <c r="AT36" s="360">
        <f t="shared" si="161"/>
        <v>41.116328792034992</v>
      </c>
      <c r="AU36" s="360">
        <f t="shared" si="161"/>
        <v>48.759398896877272</v>
      </c>
      <c r="AV36" s="360">
        <f t="shared" si="161"/>
        <v>53.857518496333931</v>
      </c>
      <c r="AW36" s="359">
        <f>SUM(AS36:AV36)</f>
        <v>190.02415356359026</v>
      </c>
      <c r="AX36" s="168"/>
      <c r="AY36" s="168"/>
      <c r="AZ36" s="168"/>
      <c r="BA36" s="168"/>
      <c r="BB36" s="168"/>
      <c r="BC36" s="168"/>
      <c r="BD36" s="168"/>
      <c r="BE36" s="168"/>
      <c r="BF36" s="168"/>
      <c r="BG36" s="168"/>
      <c r="BH36" s="168"/>
      <c r="BI36" s="168"/>
      <c r="BJ36" s="168"/>
      <c r="BK36" s="168"/>
      <c r="BL36" s="168"/>
      <c r="BM36" s="168"/>
      <c r="BN36" s="168"/>
      <c r="BO36" s="168"/>
      <c r="BP36" s="168"/>
    </row>
    <row r="37" spans="2:68">
      <c r="B37" s="143"/>
      <c r="C37" s="143"/>
      <c r="D37" s="143"/>
      <c r="E37" s="154"/>
      <c r="F37" s="154"/>
      <c r="G37" s="154"/>
      <c r="H37" s="154"/>
      <c r="I37" s="165"/>
      <c r="J37" s="154"/>
      <c r="K37" s="154"/>
      <c r="L37" s="154"/>
      <c r="M37" s="154"/>
      <c r="N37" s="367"/>
      <c r="O37" s="154"/>
      <c r="P37" s="154"/>
      <c r="Q37" s="154"/>
      <c r="R37" s="154"/>
      <c r="S37" s="367"/>
      <c r="T37" s="154"/>
      <c r="U37" s="154"/>
      <c r="V37" s="154"/>
      <c r="W37" s="154"/>
      <c r="X37" s="367"/>
      <c r="Y37" s="154"/>
      <c r="Z37" s="154"/>
      <c r="AA37" s="154"/>
      <c r="AB37" s="154"/>
      <c r="AC37" s="367"/>
      <c r="AD37" s="154"/>
      <c r="AE37" s="154"/>
      <c r="AF37" s="154"/>
      <c r="AG37" s="154"/>
      <c r="AH37" s="367"/>
      <c r="AI37" s="154"/>
      <c r="AJ37" s="154"/>
      <c r="AK37" s="154"/>
      <c r="AL37" s="154"/>
      <c r="AM37" s="367"/>
      <c r="AN37" s="154"/>
      <c r="AO37" s="154"/>
      <c r="AP37" s="154"/>
      <c r="AQ37" s="154"/>
      <c r="AR37" s="367"/>
      <c r="AS37" s="154"/>
      <c r="AT37" s="154"/>
      <c r="AU37" s="154"/>
      <c r="AV37" s="154"/>
      <c r="AW37" s="367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  <c r="BJ37" s="143"/>
      <c r="BK37" s="143"/>
      <c r="BL37" s="143"/>
      <c r="BM37" s="143"/>
      <c r="BN37" s="143"/>
      <c r="BO37" s="143"/>
      <c r="BP37" s="143"/>
    </row>
    <row r="38" spans="2:68">
      <c r="B38" s="143"/>
      <c r="C38" s="143"/>
      <c r="D38" s="172" t="s">
        <v>117</v>
      </c>
      <c r="E38" s="173"/>
      <c r="F38" s="173"/>
      <c r="G38" s="173"/>
      <c r="H38" s="173"/>
      <c r="I38" s="369"/>
      <c r="J38" s="173"/>
      <c r="K38" s="173"/>
      <c r="L38" s="173"/>
      <c r="M38" s="173"/>
      <c r="N38" s="375"/>
      <c r="O38" s="173"/>
      <c r="P38" s="173"/>
      <c r="Q38" s="173"/>
      <c r="R38" s="173"/>
      <c r="S38" s="375"/>
      <c r="T38" s="173"/>
      <c r="U38" s="173"/>
      <c r="V38" s="173"/>
      <c r="W38" s="173"/>
      <c r="X38" s="375"/>
      <c r="Y38" s="173"/>
      <c r="Z38" s="173"/>
      <c r="AA38" s="173"/>
      <c r="AB38" s="173"/>
      <c r="AC38" s="375"/>
      <c r="AD38" s="173"/>
      <c r="AE38" s="173"/>
      <c r="AF38" s="173"/>
      <c r="AG38" s="173"/>
      <c r="AH38" s="375"/>
      <c r="AI38" s="173"/>
      <c r="AJ38" s="173"/>
      <c r="AK38" s="173"/>
      <c r="AL38" s="173"/>
      <c r="AM38" s="375"/>
      <c r="AN38" s="173"/>
      <c r="AO38" s="173"/>
      <c r="AP38" s="173"/>
      <c r="AQ38" s="173"/>
      <c r="AR38" s="375"/>
      <c r="AS38" s="173"/>
      <c r="AT38" s="173"/>
      <c r="AU38" s="173"/>
      <c r="AV38" s="173"/>
      <c r="AW38" s="375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  <c r="BN38" s="143"/>
      <c r="BO38" s="143"/>
      <c r="BP38" s="143"/>
    </row>
    <row r="39" spans="2:68" s="71" customFormat="1">
      <c r="B39" s="146"/>
      <c r="C39" s="146"/>
      <c r="D39" s="146" t="s">
        <v>123</v>
      </c>
      <c r="E39" s="165"/>
      <c r="F39" s="165"/>
      <c r="G39" s="165"/>
      <c r="H39" s="165"/>
      <c r="I39" s="165"/>
      <c r="J39" s="355">
        <f>'SCENARIO ANALYSIS'!E24</f>
        <v>1132</v>
      </c>
      <c r="K39" s="355">
        <f>'SCENARIO ANALYSIS'!F24</f>
        <v>1130</v>
      </c>
      <c r="L39" s="355">
        <f>'SCENARIO ANALYSIS'!G24</f>
        <v>1146</v>
      </c>
      <c r="M39" s="355">
        <f>'SCENARIO ANALYSIS'!H24</f>
        <v>1214</v>
      </c>
      <c r="N39" s="356">
        <f>'SCENARIO ANALYSIS'!I24</f>
        <v>4622</v>
      </c>
      <c r="O39" s="355">
        <f>'SCENARIO ANALYSIS'!J24</f>
        <v>1190</v>
      </c>
      <c r="P39" s="355">
        <f>'SCENARIO ANALYSIS'!K24</f>
        <v>1289</v>
      </c>
      <c r="Q39" s="355">
        <f>'SCENARIO ANALYSIS'!L24</f>
        <v>1243</v>
      </c>
      <c r="R39" s="355">
        <f>'SCENARIO ANALYSIS'!M24</f>
        <v>1141</v>
      </c>
      <c r="S39" s="356">
        <f>'SCENARIO ANALYSIS'!N24</f>
        <v>4863</v>
      </c>
      <c r="T39" s="355">
        <f>'SCENARIO ANALYSIS'!O24</f>
        <v>1296</v>
      </c>
      <c r="U39" s="355">
        <f>'SCENARIO ANALYSIS'!P24</f>
        <v>1391</v>
      </c>
      <c r="V39" s="355">
        <f>'SCENARIO ANALYSIS'!Q24</f>
        <v>1454</v>
      </c>
      <c r="W39" s="355">
        <f>'SCENARIO ANALYSIS'!R24</f>
        <v>1483.3</v>
      </c>
      <c r="X39" s="356">
        <f>'SCENARIO ANALYSIS'!S24</f>
        <v>5624.3</v>
      </c>
      <c r="Y39" s="355">
        <f>'SCENARIO ANALYSIS'!T24</f>
        <v>1502.6981791378789</v>
      </c>
      <c r="Z39" s="355">
        <f>'SCENARIO ANALYSIS'!U24</f>
        <v>1637.3360321230318</v>
      </c>
      <c r="AA39" s="355">
        <f>'SCENARIO ANALYSIS'!V24</f>
        <v>1747.1019369093196</v>
      </c>
      <c r="AB39" s="355">
        <f>'SCENARIO ANALYSIS'!W24</f>
        <v>1794.1126374346059</v>
      </c>
      <c r="AC39" s="356">
        <f>'SCENARIO ANALYSIS'!X24</f>
        <v>6681.2487856048356</v>
      </c>
      <c r="AD39" s="355">
        <f>'SCENARIO ANALYSIS'!Y24</f>
        <v>1718.3960801251051</v>
      </c>
      <c r="AE39" s="355">
        <f>'SCENARIO ANALYSIS'!Z24</f>
        <v>1898.3003565405236</v>
      </c>
      <c r="AF39" s="355">
        <f>'SCENARIO ANALYSIS'!AA24</f>
        <v>2064.0696573477867</v>
      </c>
      <c r="AG39" s="355">
        <f>'SCENARIO ANALYSIS'!AB24</f>
        <v>2132.4592919389042</v>
      </c>
      <c r="AH39" s="356">
        <f>'SCENARIO ANALYSIS'!AC24</f>
        <v>7813.2253859523198</v>
      </c>
      <c r="AI39" s="355">
        <f>'SCENARIO ANALYSIS'!AD24</f>
        <v>1940.3894181248102</v>
      </c>
      <c r="AJ39" s="355">
        <f>'SCENARIO ANALYSIS'!AE24</f>
        <v>2170.6023118693679</v>
      </c>
      <c r="AK39" s="355">
        <f>'SCENARIO ANALYSIS'!AF24</f>
        <v>2401.0958469848965</v>
      </c>
      <c r="AL39" s="355">
        <f>'SCENARIO ANALYSIS'!AG24</f>
        <v>2494.3983402548652</v>
      </c>
      <c r="AM39" s="356">
        <f>'SCENARIO ANALYSIS'!AH24</f>
        <v>9006.4859172339402</v>
      </c>
      <c r="AN39" s="355">
        <f>'SCENARIO ANALYSIS'!AI24</f>
        <v>2165.9940828687636</v>
      </c>
      <c r="AO39" s="355">
        <f>'SCENARIO ANALYSIS'!AJ24</f>
        <v>2450.8284239038412</v>
      </c>
      <c r="AP39" s="355">
        <f>'SCENARIO ANALYSIS'!AK24</f>
        <v>2753.9468097631407</v>
      </c>
      <c r="AQ39" s="355">
        <f>'SCENARIO ANALYSIS'!AL24</f>
        <v>2875.4317078436529</v>
      </c>
      <c r="AR39" s="356">
        <f>'SCENARIO ANALYSIS'!AM24</f>
        <v>10246.201024379399</v>
      </c>
      <c r="AS39" s="355">
        <f>'SCENARIO ANALYSIS'!AN24</f>
        <v>2392.645768300913</v>
      </c>
      <c r="AT39" s="355">
        <f>'SCENARIO ANALYSIS'!AO24</f>
        <v>2735.5915539644584</v>
      </c>
      <c r="AU39" s="355">
        <f>'SCENARIO ANALYSIS'!AP24</f>
        <v>3118.1802934188227</v>
      </c>
      <c r="AV39" s="355">
        <f>'SCENARIO ANALYSIS'!AQ24</f>
        <v>3270.7462285065276</v>
      </c>
      <c r="AW39" s="356">
        <f>'SCENARIO ANALYSIS'!AR24</f>
        <v>11517.16384419072</v>
      </c>
      <c r="AX39" s="146"/>
      <c r="AY39" s="146"/>
      <c r="AZ39" s="146"/>
      <c r="BA39" s="146"/>
      <c r="BB39" s="146"/>
      <c r="BC39" s="146"/>
      <c r="BD39" s="146"/>
      <c r="BE39" s="146"/>
      <c r="BF39" s="146"/>
      <c r="BG39" s="146"/>
      <c r="BH39" s="146"/>
      <c r="BI39" s="146"/>
      <c r="BJ39" s="146"/>
      <c r="BK39" s="146"/>
      <c r="BL39" s="146"/>
      <c r="BM39" s="146"/>
      <c r="BN39" s="146"/>
      <c r="BO39" s="146"/>
      <c r="BP39" s="146"/>
    </row>
    <row r="40" spans="2:68" s="73" customFormat="1">
      <c r="B40" s="166"/>
      <c r="C40" s="166"/>
      <c r="D40" s="166" t="s">
        <v>125</v>
      </c>
      <c r="E40" s="167"/>
      <c r="F40" s="167"/>
      <c r="G40" s="167"/>
      <c r="H40" s="167"/>
      <c r="I40" s="167"/>
      <c r="J40" s="167"/>
      <c r="K40" s="167"/>
      <c r="L40" s="167"/>
      <c r="M40" s="167"/>
      <c r="N40" s="189"/>
      <c r="O40" s="357">
        <f>'SCENARIO ANALYSIS'!J60</f>
        <v>3.4000000000000002E-2</v>
      </c>
      <c r="P40" s="357">
        <f>'SCENARIO ANALYSIS'!K60</f>
        <v>3.9E-2</v>
      </c>
      <c r="Q40" s="357">
        <f>'SCENARIO ANALYSIS'!L60</f>
        <v>0.03</v>
      </c>
      <c r="R40" s="357">
        <f>'SCENARIO ANALYSIS'!M60</f>
        <v>3.5000000000000003E-2</v>
      </c>
      <c r="S40" s="358">
        <f>S41/S39</f>
        <v>3.453752827472753E-2</v>
      </c>
      <c r="T40" s="357">
        <f>'SCENARIO ANALYSIS'!O60</f>
        <v>4.1000000000000002E-2</v>
      </c>
      <c r="U40" s="357">
        <f>'SCENARIO ANALYSIS'!P60</f>
        <v>0.04</v>
      </c>
      <c r="V40" s="357">
        <f>'SCENARIO ANALYSIS'!Q60</f>
        <v>3.5000000000000003E-2</v>
      </c>
      <c r="W40" s="357">
        <f>'SCENARIO ANALYSIS'!R60</f>
        <v>0.05</v>
      </c>
      <c r="X40" s="358">
        <f>X41/X39</f>
        <v>4.1575129349430154E-2</v>
      </c>
      <c r="Y40" s="357">
        <f>'SCENARIO ANALYSIS'!T60</f>
        <v>4.1500000000000002E-2</v>
      </c>
      <c r="Z40" s="357">
        <f>'SCENARIO ANALYSIS'!U60</f>
        <v>4.1625000000000002E-2</v>
      </c>
      <c r="AA40" s="357">
        <f>'SCENARIO ANALYSIS'!V60</f>
        <v>4.2031249999999999E-2</v>
      </c>
      <c r="AB40" s="357">
        <f>'SCENARIO ANALYSIS'!W60</f>
        <v>4.3789062499999996E-2</v>
      </c>
      <c r="AC40" s="358">
        <f>AC41/AC39</f>
        <v>4.2284232264844741E-2</v>
      </c>
      <c r="AD40" s="357">
        <f>'SCENARIO ANALYSIS'!Y60</f>
        <v>4.1500000000000002E-2</v>
      </c>
      <c r="AE40" s="357">
        <f>'SCENARIO ANALYSIS'!Z60</f>
        <v>4.1625000000000002E-2</v>
      </c>
      <c r="AF40" s="357">
        <f>'SCENARIO ANALYSIS'!AA60</f>
        <v>4.2031249999999999E-2</v>
      </c>
      <c r="AG40" s="357">
        <f>'SCENARIO ANALYSIS'!AB60</f>
        <v>4.3789062499999996E-2</v>
      </c>
      <c r="AH40" s="358">
        <f>AH41/AH39</f>
        <v>4.2295466256376264E-2</v>
      </c>
      <c r="AI40" s="357">
        <f>'SCENARIO ANALYSIS'!AD60</f>
        <v>4.1500000000000002E-2</v>
      </c>
      <c r="AJ40" s="357">
        <f>'SCENARIO ANALYSIS'!AE60</f>
        <v>4.1625000000000002E-2</v>
      </c>
      <c r="AK40" s="357">
        <f>'SCENARIO ANALYSIS'!AF60</f>
        <v>4.2031249999999999E-2</v>
      </c>
      <c r="AL40" s="357">
        <f>'SCENARIO ANALYSIS'!AG60</f>
        <v>4.3789062499999996E-2</v>
      </c>
      <c r="AM40" s="358">
        <f>AM41/AM39</f>
        <v>4.2305723922195691E-2</v>
      </c>
      <c r="AN40" s="357">
        <f>'SCENARIO ANALYSIS'!AI60</f>
        <v>4.1500000000000002E-2</v>
      </c>
      <c r="AO40" s="357">
        <f>'SCENARIO ANALYSIS'!AJ60</f>
        <v>4.1625000000000002E-2</v>
      </c>
      <c r="AP40" s="357">
        <f>'SCENARIO ANALYSIS'!AK60</f>
        <v>4.2031249999999999E-2</v>
      </c>
      <c r="AQ40" s="357">
        <f>'SCENARIO ANALYSIS'!AL60</f>
        <v>4.3789062499999996E-2</v>
      </c>
      <c r="AR40" s="358">
        <f>AR41/AR39</f>
        <v>4.2315075818787802E-2</v>
      </c>
      <c r="AS40" s="357">
        <f>'SCENARIO ANALYSIS'!AN60</f>
        <v>4.1500000000000002E-2</v>
      </c>
      <c r="AT40" s="357">
        <f>'SCENARIO ANALYSIS'!AO60</f>
        <v>4.1625000000000002E-2</v>
      </c>
      <c r="AU40" s="357">
        <f>'SCENARIO ANALYSIS'!AP60</f>
        <v>4.2031249999999999E-2</v>
      </c>
      <c r="AV40" s="357">
        <f>'SCENARIO ANALYSIS'!AQ60</f>
        <v>4.3789062499999996E-2</v>
      </c>
      <c r="AW40" s="358">
        <f>AW41/AW39</f>
        <v>4.2323590329367382E-2</v>
      </c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</row>
    <row r="41" spans="2:68" s="75" customFormat="1">
      <c r="B41" s="168"/>
      <c r="C41" s="168"/>
      <c r="D41" s="168" t="s">
        <v>126</v>
      </c>
      <c r="E41" s="169"/>
      <c r="F41" s="169"/>
      <c r="G41" s="169"/>
      <c r="H41" s="169"/>
      <c r="I41" s="169"/>
      <c r="J41" s="169"/>
      <c r="K41" s="169"/>
      <c r="L41" s="169"/>
      <c r="M41" s="169"/>
      <c r="N41" s="190"/>
      <c r="O41" s="360">
        <f>O39*O40</f>
        <v>40.46</v>
      </c>
      <c r="P41" s="360">
        <f t="shared" ref="P41:R41" si="162">P39*P40</f>
        <v>50.271000000000001</v>
      </c>
      <c r="Q41" s="360">
        <f t="shared" si="162"/>
        <v>37.29</v>
      </c>
      <c r="R41" s="360">
        <f t="shared" si="162"/>
        <v>39.935000000000002</v>
      </c>
      <c r="S41" s="359">
        <f>SUM(O41:R41)</f>
        <v>167.95599999999999</v>
      </c>
      <c r="T41" s="360">
        <f>T39*T40</f>
        <v>53.136000000000003</v>
      </c>
      <c r="U41" s="360">
        <f t="shared" ref="U41" si="163">U39*U40</f>
        <v>55.64</v>
      </c>
      <c r="V41" s="360">
        <f t="shared" ref="V41" si="164">V39*V40</f>
        <v>50.890000000000008</v>
      </c>
      <c r="W41" s="360">
        <f t="shared" ref="W41:Y41" si="165">W39*W40</f>
        <v>74.165000000000006</v>
      </c>
      <c r="X41" s="359">
        <f>SUM(T41:W41)</f>
        <v>233.83100000000002</v>
      </c>
      <c r="Y41" s="360">
        <f t="shared" si="165"/>
        <v>62.361974434221978</v>
      </c>
      <c r="Z41" s="360">
        <f t="shared" ref="Z41:AB41" si="166">Z39*Z40</f>
        <v>68.154112337121205</v>
      </c>
      <c r="AA41" s="360">
        <f t="shared" si="166"/>
        <v>73.432878285719838</v>
      </c>
      <c r="AB41" s="360">
        <f t="shared" si="166"/>
        <v>78.562510412663784</v>
      </c>
      <c r="AC41" s="359">
        <f>SUM(Y41:AB41)</f>
        <v>282.51147546972675</v>
      </c>
      <c r="AD41" s="360">
        <f t="shared" ref="AD41:AG41" si="167">AD39*AD40</f>
        <v>71.31343732519187</v>
      </c>
      <c r="AE41" s="360">
        <f t="shared" si="167"/>
        <v>79.016752340999304</v>
      </c>
      <c r="AF41" s="360">
        <f t="shared" si="167"/>
        <v>86.755427785399164</v>
      </c>
      <c r="AG41" s="360">
        <f t="shared" si="167"/>
        <v>93.37839321341842</v>
      </c>
      <c r="AH41" s="359">
        <f>SUM(AD41:AG41)</f>
        <v>330.46401066500874</v>
      </c>
      <c r="AI41" s="360">
        <f t="shared" ref="AI41:AL41" si="168">AI39*AI40</f>
        <v>80.526160852179629</v>
      </c>
      <c r="AJ41" s="360">
        <f t="shared" si="168"/>
        <v>90.351321231562437</v>
      </c>
      <c r="AK41" s="360">
        <f t="shared" si="168"/>
        <v>100.92105981858393</v>
      </c>
      <c r="AL41" s="360">
        <f t="shared" si="168"/>
        <v>109.22736482131654</v>
      </c>
      <c r="AM41" s="359">
        <f>SUM(AI41:AL41)</f>
        <v>381.02590672364249</v>
      </c>
      <c r="AN41" s="360">
        <f t="shared" ref="AN41:AQ41" si="169">AN39*AN40</f>
        <v>89.888754439053699</v>
      </c>
      <c r="AO41" s="360">
        <f t="shared" si="169"/>
        <v>102.0157331449974</v>
      </c>
      <c r="AP41" s="360">
        <f t="shared" si="169"/>
        <v>115.751826847857</v>
      </c>
      <c r="AQ41" s="360">
        <f t="shared" si="169"/>
        <v>125.91245876924745</v>
      </c>
      <c r="AR41" s="359">
        <f>SUM(AN41:AQ41)</f>
        <v>433.56877320115552</v>
      </c>
      <c r="AS41" s="360">
        <f t="shared" ref="AS41:AV41" si="170">AS39*AS40</f>
        <v>99.294799384487888</v>
      </c>
      <c r="AT41" s="360">
        <f t="shared" si="170"/>
        <v>113.86899843377059</v>
      </c>
      <c r="AU41" s="360">
        <f t="shared" si="170"/>
        <v>131.06101545775988</v>
      </c>
      <c r="AV41" s="360">
        <f t="shared" si="170"/>
        <v>143.22291102171161</v>
      </c>
      <c r="AW41" s="359">
        <f>SUM(AS41:AV41)</f>
        <v>487.44772429773002</v>
      </c>
      <c r="AX41" s="168"/>
      <c r="AY41" s="168"/>
      <c r="AZ41" s="168"/>
      <c r="BA41" s="168"/>
      <c r="BB41" s="168"/>
      <c r="BC41" s="168"/>
      <c r="BD41" s="168"/>
      <c r="BE41" s="168"/>
      <c r="BF41" s="168"/>
      <c r="BG41" s="168"/>
      <c r="BH41" s="168"/>
      <c r="BI41" s="168"/>
      <c r="BJ41" s="168"/>
      <c r="BK41" s="168"/>
      <c r="BL41" s="168"/>
      <c r="BM41" s="168"/>
      <c r="BN41" s="168"/>
      <c r="BO41" s="168"/>
      <c r="BP41" s="168"/>
    </row>
    <row r="42" spans="2:68">
      <c r="B42" s="143"/>
      <c r="C42" s="143"/>
      <c r="D42" s="143"/>
      <c r="E42" s="154"/>
      <c r="F42" s="154"/>
      <c r="G42" s="154"/>
      <c r="H42" s="154"/>
      <c r="I42" s="165"/>
      <c r="J42" s="154"/>
      <c r="K42" s="154"/>
      <c r="L42" s="154"/>
      <c r="M42" s="154"/>
      <c r="N42" s="367"/>
      <c r="O42" s="154"/>
      <c r="P42" s="154"/>
      <c r="Q42" s="154"/>
      <c r="R42" s="154"/>
      <c r="S42" s="367"/>
      <c r="T42" s="154"/>
      <c r="U42" s="154"/>
      <c r="V42" s="154"/>
      <c r="W42" s="154"/>
      <c r="X42" s="367"/>
      <c r="Y42" s="154"/>
      <c r="Z42" s="154"/>
      <c r="AA42" s="154"/>
      <c r="AB42" s="154"/>
      <c r="AC42" s="367"/>
      <c r="AD42" s="154"/>
      <c r="AE42" s="154"/>
      <c r="AF42" s="154"/>
      <c r="AG42" s="154"/>
      <c r="AH42" s="367"/>
      <c r="AI42" s="154"/>
      <c r="AJ42" s="154"/>
      <c r="AK42" s="154"/>
      <c r="AL42" s="154"/>
      <c r="AM42" s="367"/>
      <c r="AN42" s="154"/>
      <c r="AO42" s="154"/>
      <c r="AP42" s="154"/>
      <c r="AQ42" s="154"/>
      <c r="AR42" s="367"/>
      <c r="AS42" s="154"/>
      <c r="AT42" s="154"/>
      <c r="AU42" s="154"/>
      <c r="AV42" s="154"/>
      <c r="AW42" s="367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</row>
    <row r="43" spans="2:68">
      <c r="B43" s="143"/>
      <c r="C43" s="143"/>
      <c r="D43" s="174" t="s">
        <v>118</v>
      </c>
      <c r="E43" s="175"/>
      <c r="F43" s="175"/>
      <c r="G43" s="175"/>
      <c r="H43" s="175"/>
      <c r="I43" s="370"/>
      <c r="J43" s="175"/>
      <c r="K43" s="175"/>
      <c r="L43" s="175"/>
      <c r="M43" s="175"/>
      <c r="N43" s="376"/>
      <c r="O43" s="175"/>
      <c r="P43" s="175"/>
      <c r="Q43" s="175"/>
      <c r="R43" s="175"/>
      <c r="S43" s="376"/>
      <c r="T43" s="175"/>
      <c r="U43" s="175"/>
      <c r="V43" s="175"/>
      <c r="W43" s="175"/>
      <c r="X43" s="376"/>
      <c r="Y43" s="175"/>
      <c r="Z43" s="175"/>
      <c r="AA43" s="175"/>
      <c r="AB43" s="175"/>
      <c r="AC43" s="376"/>
      <c r="AD43" s="175"/>
      <c r="AE43" s="175"/>
      <c r="AF43" s="175"/>
      <c r="AG43" s="175"/>
      <c r="AH43" s="376"/>
      <c r="AI43" s="175"/>
      <c r="AJ43" s="175"/>
      <c r="AK43" s="175"/>
      <c r="AL43" s="175"/>
      <c r="AM43" s="376"/>
      <c r="AN43" s="175"/>
      <c r="AO43" s="175"/>
      <c r="AP43" s="175"/>
      <c r="AQ43" s="175"/>
      <c r="AR43" s="376"/>
      <c r="AS43" s="175"/>
      <c r="AT43" s="175"/>
      <c r="AU43" s="175"/>
      <c r="AV43" s="175"/>
      <c r="AW43" s="376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</row>
    <row r="44" spans="2:68" s="71" customFormat="1">
      <c r="B44" s="146"/>
      <c r="C44" s="146"/>
      <c r="D44" s="146" t="s">
        <v>123</v>
      </c>
      <c r="E44" s="165"/>
      <c r="F44" s="165"/>
      <c r="G44" s="165"/>
      <c r="H44" s="165"/>
      <c r="I44" s="165"/>
      <c r="J44" s="355">
        <f>'SCENARIO ANALYSIS'!E32</f>
        <v>907</v>
      </c>
      <c r="K44" s="355">
        <f>'SCENARIO ANALYSIS'!F32</f>
        <v>905</v>
      </c>
      <c r="L44" s="355">
        <f>'SCENARIO ANALYSIS'!G32</f>
        <v>955</v>
      </c>
      <c r="M44" s="355">
        <f>'SCENARIO ANALYSIS'!H32</f>
        <v>1022</v>
      </c>
      <c r="N44" s="356">
        <f>'SCENARIO ANALYSIS'!I32</f>
        <v>3789</v>
      </c>
      <c r="O44" s="355">
        <f>'SCENARIO ANALYSIS'!J32</f>
        <v>1018</v>
      </c>
      <c r="P44" s="355">
        <f>'SCENARIO ANALYSIS'!K32</f>
        <v>1078</v>
      </c>
      <c r="Q44" s="355">
        <f>'SCENARIO ANALYSIS'!L32</f>
        <v>999</v>
      </c>
      <c r="R44" s="355">
        <f>'SCENARIO ANALYSIS'!M32</f>
        <v>1023</v>
      </c>
      <c r="S44" s="356">
        <f>'SCENARIO ANALYSIS'!N32</f>
        <v>4118</v>
      </c>
      <c r="T44" s="355">
        <f>'SCENARIO ANALYSIS'!O32</f>
        <v>1049</v>
      </c>
      <c r="U44" s="355">
        <f>'SCENARIO ANALYSIS'!P32</f>
        <v>1132</v>
      </c>
      <c r="V44" s="355">
        <f>'SCENARIO ANALYSIS'!Q32</f>
        <v>1160</v>
      </c>
      <c r="W44" s="355">
        <f>'SCENARIO ANALYSIS'!R32</f>
        <v>1227.5999999999999</v>
      </c>
      <c r="X44" s="356">
        <f>'SCENARIO ANALYSIS'!S32</f>
        <v>4568.6000000000004</v>
      </c>
      <c r="Y44" s="355">
        <f>'SCENARIO ANALYSIS'!T32</f>
        <v>1164.8373439374072</v>
      </c>
      <c r="Z44" s="355">
        <f>'SCENARIO ANALYSIS'!U32</f>
        <v>1279.6355457077811</v>
      </c>
      <c r="AA44" s="355">
        <f>'SCENARIO ANALYSIS'!V32</f>
        <v>1334.5822337333177</v>
      </c>
      <c r="AB44" s="355">
        <f>'SCENARIO ANALYSIS'!W32</f>
        <v>1409.0848445222052</v>
      </c>
      <c r="AC44" s="356">
        <f>'SCENARIO ANALYSIS'!X32</f>
        <v>5188.1399679007118</v>
      </c>
      <c r="AD44" s="355">
        <f>'SCENARIO ANALYSIS'!Y32</f>
        <v>1280.6033092727093</v>
      </c>
      <c r="AE44" s="355">
        <f>'SCENARIO ANALYSIS'!Z32</f>
        <v>1429.836714336649</v>
      </c>
      <c r="AF44" s="355">
        <f>'SCENARIO ANALYSIS'!AA32</f>
        <v>1515.3537102155308</v>
      </c>
      <c r="AG44" s="355">
        <f>'SCENARIO ANALYSIS'!AB32</f>
        <v>1596.5683811253639</v>
      </c>
      <c r="AH44" s="356">
        <f>'SCENARIO ANALYSIS'!AC32</f>
        <v>5822.3621149502533</v>
      </c>
      <c r="AI44" s="355">
        <f>'SCENARIO ANALYSIS'!AD32</f>
        <v>1395.1474137977041</v>
      </c>
      <c r="AJ44" s="355">
        <f>'SCENARIO ANALYSIS'!AE32</f>
        <v>1580.8850589578776</v>
      </c>
      <c r="AK44" s="355">
        <f>'SCENARIO ANALYSIS'!AF32</f>
        <v>1700.0852678505769</v>
      </c>
      <c r="AL44" s="355">
        <f>'SCENARIO ANALYSIS'!AG32</f>
        <v>1787.7543547146934</v>
      </c>
      <c r="AM44" s="356">
        <f>'SCENARIO ANALYSIS'!AH32</f>
        <v>6463.8720953208522</v>
      </c>
      <c r="AN44" s="355">
        <f>'SCENARIO ANALYSIS'!AI32</f>
        <v>1507.4580091499222</v>
      </c>
      <c r="AO44" s="355">
        <f>'SCENARIO ANALYSIS'!AJ32</f>
        <v>1731.1896790015189</v>
      </c>
      <c r="AP44" s="355">
        <f>'SCENARIO ANALYSIS'!AK32</f>
        <v>1886.6116595258159</v>
      </c>
      <c r="AQ44" s="355">
        <f>'SCENARIO ANALYSIS'!AL32</f>
        <v>1980.4264662238768</v>
      </c>
      <c r="AR44" s="356">
        <f>'SCENARIO ANALYSIS'!AM32</f>
        <v>7105.6858139011329</v>
      </c>
      <c r="AS44" s="355">
        <f>'SCENARIO ANALYSIS'!AN32</f>
        <v>1616.6745366089922</v>
      </c>
      <c r="AT44" s="355">
        <f>'SCENARIO ANALYSIS'!AO32</f>
        <v>1879.325196448684</v>
      </c>
      <c r="AU44" s="355">
        <f>'SCENARIO ANALYSIS'!AP32</f>
        <v>2072.9038325118377</v>
      </c>
      <c r="AV44" s="355">
        <f>'SCENARIO ANALYSIS'!AQ32</f>
        <v>2172.5197776661121</v>
      </c>
      <c r="AW44" s="356">
        <f>'SCENARIO ANALYSIS'!AR32</f>
        <v>7741.423343235625</v>
      </c>
      <c r="AX44" s="146"/>
      <c r="AY44" s="146"/>
      <c r="AZ44" s="146"/>
      <c r="BA44" s="146"/>
      <c r="BB44" s="146"/>
      <c r="BC44" s="146"/>
      <c r="BD44" s="146"/>
      <c r="BE44" s="146"/>
      <c r="BF44" s="146"/>
      <c r="BG44" s="146"/>
      <c r="BH44" s="146"/>
      <c r="BI44" s="146"/>
      <c r="BJ44" s="146"/>
      <c r="BK44" s="146"/>
      <c r="BL44" s="146"/>
      <c r="BM44" s="146"/>
      <c r="BN44" s="146"/>
      <c r="BO44" s="146"/>
      <c r="BP44" s="146"/>
    </row>
    <row r="45" spans="2:68" s="73" customFormat="1">
      <c r="B45" s="166"/>
      <c r="C45" s="166"/>
      <c r="D45" s="166" t="s">
        <v>125</v>
      </c>
      <c r="E45" s="167"/>
      <c r="F45" s="167"/>
      <c r="G45" s="167"/>
      <c r="H45" s="167"/>
      <c r="I45" s="167"/>
      <c r="J45" s="167"/>
      <c r="K45" s="167"/>
      <c r="L45" s="167"/>
      <c r="M45" s="167"/>
      <c r="N45" s="189"/>
      <c r="O45" s="357">
        <f>'SCENARIO ANALYSIS'!J68</f>
        <v>7.5999999999999998E-2</v>
      </c>
      <c r="P45" s="357">
        <f>'SCENARIO ANALYSIS'!K68</f>
        <v>8.2000000000000003E-2</v>
      </c>
      <c r="Q45" s="357">
        <f>'SCENARIO ANALYSIS'!L68</f>
        <v>7.9000000000000001E-2</v>
      </c>
      <c r="R45" s="357">
        <f>'SCENARIO ANALYSIS'!M68</f>
        <v>8.1000000000000003E-2</v>
      </c>
      <c r="S45" s="358">
        <f>S46/S44</f>
        <v>7.9540553666828565E-2</v>
      </c>
      <c r="T45" s="357">
        <f>'SCENARIO ANALYSIS'!O68</f>
        <v>0.08</v>
      </c>
      <c r="U45" s="357">
        <f>'SCENARIO ANALYSIS'!P68</f>
        <v>0.08</v>
      </c>
      <c r="V45" s="357">
        <f>'SCENARIO ANALYSIS'!Q68</f>
        <v>0.08</v>
      </c>
      <c r="W45" s="357">
        <f>'SCENARIO ANALYSIS'!R68</f>
        <v>7.4999999999999997E-2</v>
      </c>
      <c r="X45" s="358">
        <f>X46/X44</f>
        <v>7.8656481197741102E-2</v>
      </c>
      <c r="Y45" s="357">
        <f>'SCENARIO ANALYSIS'!T68</f>
        <v>7.8750000000000001E-2</v>
      </c>
      <c r="Z45" s="357">
        <f>'SCENARIO ANALYSIS'!U68</f>
        <v>7.8437499999999993E-2</v>
      </c>
      <c r="AA45" s="357">
        <f>'SCENARIO ANALYSIS'!V68</f>
        <v>7.8046875000000002E-2</v>
      </c>
      <c r="AB45" s="357">
        <f>'SCENARIO ANALYSIS'!W68</f>
        <v>7.7558593750000002E-2</v>
      </c>
      <c r="AC45" s="358">
        <f>AC46/AC44</f>
        <v>7.8168470444063165E-2</v>
      </c>
      <c r="AD45" s="357">
        <f>'SCENARIO ANALYSIS'!Y68</f>
        <v>7.8750000000000001E-2</v>
      </c>
      <c r="AE45" s="357">
        <f>'SCENARIO ANALYSIS'!Z68</f>
        <v>7.8437499999999993E-2</v>
      </c>
      <c r="AF45" s="357">
        <f>'SCENARIO ANALYSIS'!AA68</f>
        <v>7.8046875000000002E-2</v>
      </c>
      <c r="AG45" s="357">
        <f>'SCENARIO ANALYSIS'!AB68</f>
        <v>7.7558593750000002E-2</v>
      </c>
      <c r="AH45" s="358">
        <f>AH46/AH44</f>
        <v>7.8163559560340087E-2</v>
      </c>
      <c r="AI45" s="357">
        <f>'SCENARIO ANALYSIS'!AD68</f>
        <v>7.8750000000000001E-2</v>
      </c>
      <c r="AJ45" s="357">
        <f>'SCENARIO ANALYSIS'!AE68</f>
        <v>7.8437499999999993E-2</v>
      </c>
      <c r="AK45" s="357">
        <f>'SCENARIO ANALYSIS'!AF68</f>
        <v>7.8046875000000002E-2</v>
      </c>
      <c r="AL45" s="357">
        <f>'SCENARIO ANALYSIS'!AG68</f>
        <v>7.7558593750000002E-2</v>
      </c>
      <c r="AM45" s="358">
        <f>AM46/AM44</f>
        <v>7.8159124950148942E-2</v>
      </c>
      <c r="AN45" s="357">
        <f>'SCENARIO ANALYSIS'!AI68</f>
        <v>7.8750000000000001E-2</v>
      </c>
      <c r="AO45" s="357">
        <f>'SCENARIO ANALYSIS'!AJ68</f>
        <v>7.8437499999999993E-2</v>
      </c>
      <c r="AP45" s="357">
        <f>'SCENARIO ANALYSIS'!AK68</f>
        <v>7.8046875000000002E-2</v>
      </c>
      <c r="AQ45" s="357">
        <f>'SCENARIO ANALYSIS'!AL68</f>
        <v>7.7558593750000002E-2</v>
      </c>
      <c r="AR45" s="358">
        <f>AR46/AR44</f>
        <v>7.8155122436029026E-2</v>
      </c>
      <c r="AS45" s="357">
        <f>'SCENARIO ANALYSIS'!AN68</f>
        <v>7.8750000000000001E-2</v>
      </c>
      <c r="AT45" s="357">
        <f>'SCENARIO ANALYSIS'!AO68</f>
        <v>7.8437499999999993E-2</v>
      </c>
      <c r="AU45" s="357">
        <f>'SCENARIO ANALYSIS'!AP68</f>
        <v>7.8046875000000002E-2</v>
      </c>
      <c r="AV45" s="357">
        <f>'SCENARIO ANALYSIS'!AQ68</f>
        <v>7.7558593750000002E-2</v>
      </c>
      <c r="AW45" s="358">
        <f>AW46/AW44</f>
        <v>7.8151511444722446E-2</v>
      </c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</row>
    <row r="46" spans="2:68" s="75" customFormat="1">
      <c r="B46" s="168"/>
      <c r="C46" s="168"/>
      <c r="D46" s="168" t="s">
        <v>126</v>
      </c>
      <c r="E46" s="169"/>
      <c r="F46" s="169"/>
      <c r="G46" s="169"/>
      <c r="H46" s="169"/>
      <c r="I46" s="169"/>
      <c r="J46" s="169"/>
      <c r="K46" s="169"/>
      <c r="L46" s="169"/>
      <c r="M46" s="169"/>
      <c r="N46" s="190"/>
      <c r="O46" s="360">
        <f>O44*O45</f>
        <v>77.367999999999995</v>
      </c>
      <c r="P46" s="360">
        <f t="shared" ref="P46:R46" si="171">P44*P45</f>
        <v>88.396000000000001</v>
      </c>
      <c r="Q46" s="360">
        <f t="shared" si="171"/>
        <v>78.921000000000006</v>
      </c>
      <c r="R46" s="360">
        <f t="shared" si="171"/>
        <v>82.863</v>
      </c>
      <c r="S46" s="359">
        <f>SUM(O46:R46)</f>
        <v>327.548</v>
      </c>
      <c r="T46" s="360">
        <f>T44*T45</f>
        <v>83.92</v>
      </c>
      <c r="U46" s="360">
        <f t="shared" ref="U46" si="172">U44*U45</f>
        <v>90.56</v>
      </c>
      <c r="V46" s="360">
        <f t="shared" ref="V46" si="173">V44*V45</f>
        <v>92.8</v>
      </c>
      <c r="W46" s="360">
        <f t="shared" ref="W46:Y46" si="174">W44*W45</f>
        <v>92.07</v>
      </c>
      <c r="X46" s="359">
        <f>SUM(T46:W46)</f>
        <v>359.35</v>
      </c>
      <c r="Y46" s="360">
        <f t="shared" si="174"/>
        <v>91.730940835070825</v>
      </c>
      <c r="Z46" s="360">
        <f t="shared" ref="Z46:AB46" si="175">Z44*Z45</f>
        <v>100.37141311645408</v>
      </c>
      <c r="AA46" s="360">
        <f t="shared" si="175"/>
        <v>104.15997277340503</v>
      </c>
      <c r="AB46" s="360">
        <f t="shared" si="175"/>
        <v>109.28663901557962</v>
      </c>
      <c r="AC46" s="359">
        <f>SUM(Y46:AB46)</f>
        <v>405.54896574050957</v>
      </c>
      <c r="AD46" s="360">
        <f t="shared" ref="AD46:AG46" si="176">AD44*AD45</f>
        <v>100.84751060522586</v>
      </c>
      <c r="AE46" s="360">
        <f t="shared" si="176"/>
        <v>112.15281728078089</v>
      </c>
      <c r="AF46" s="360">
        <f t="shared" si="176"/>
        <v>118.26862160197776</v>
      </c>
      <c r="AG46" s="360">
        <f t="shared" si="176"/>
        <v>123.82759846579727</v>
      </c>
      <c r="AH46" s="359">
        <f>SUM(AD46:AG46)</f>
        <v>455.09654795378179</v>
      </c>
      <c r="AI46" s="360">
        <f t="shared" ref="AI46:AL46" si="177">AI44*AI45</f>
        <v>109.8678588365692</v>
      </c>
      <c r="AJ46" s="360">
        <f t="shared" si="177"/>
        <v>124.00067181200852</v>
      </c>
      <c r="AK46" s="360">
        <f t="shared" si="177"/>
        <v>132.6863423892755</v>
      </c>
      <c r="AL46" s="360">
        <f t="shared" si="177"/>
        <v>138.65571372211031</v>
      </c>
      <c r="AM46" s="359">
        <f>SUM(AI46:AL46)</f>
        <v>505.21058675996352</v>
      </c>
      <c r="AN46" s="360">
        <f t="shared" ref="AN46:AQ46" si="178">AN44*AN45</f>
        <v>118.71231822055637</v>
      </c>
      <c r="AO46" s="360">
        <f t="shared" si="178"/>
        <v>135.79019044668163</v>
      </c>
      <c r="AP46" s="360">
        <f t="shared" si="178"/>
        <v>147.2441443645539</v>
      </c>
      <c r="AQ46" s="360">
        <f t="shared" si="178"/>
        <v>153.59909174560576</v>
      </c>
      <c r="AR46" s="359">
        <f>SUM(AN46:AQ46)</f>
        <v>555.34574477739761</v>
      </c>
      <c r="AS46" s="360">
        <f t="shared" ref="AS46:AV46" si="179">AS44*AS45</f>
        <v>127.31311975795813</v>
      </c>
      <c r="AT46" s="360">
        <f t="shared" si="179"/>
        <v>147.40957009644364</v>
      </c>
      <c r="AU46" s="360">
        <f t="shared" si="179"/>
        <v>161.78366630307232</v>
      </c>
      <c r="AV46" s="360">
        <f t="shared" si="179"/>
        <v>168.49757884984632</v>
      </c>
      <c r="AW46" s="359">
        <f>SUM(AS46:AV46)</f>
        <v>605.00393500732048</v>
      </c>
      <c r="AX46" s="168"/>
      <c r="AY46" s="168"/>
      <c r="AZ46" s="168"/>
      <c r="BA46" s="168"/>
      <c r="BB46" s="168"/>
      <c r="BC46" s="168"/>
      <c r="BD46" s="168"/>
      <c r="BE46" s="168"/>
      <c r="BF46" s="168"/>
      <c r="BG46" s="168"/>
      <c r="BH46" s="168"/>
      <c r="BI46" s="168"/>
      <c r="BJ46" s="168"/>
      <c r="BK46" s="168"/>
      <c r="BL46" s="168"/>
      <c r="BM46" s="168"/>
      <c r="BN46" s="168"/>
      <c r="BO46" s="168"/>
      <c r="BP46" s="168"/>
    </row>
    <row r="47" spans="2:68">
      <c r="B47" s="143"/>
      <c r="C47" s="143"/>
      <c r="D47" s="143"/>
      <c r="E47" s="154"/>
      <c r="F47" s="154"/>
      <c r="G47" s="154"/>
      <c r="H47" s="154"/>
      <c r="I47" s="165"/>
      <c r="J47" s="154"/>
      <c r="K47" s="154"/>
      <c r="L47" s="154"/>
      <c r="M47" s="154"/>
      <c r="N47" s="367"/>
      <c r="O47" s="154"/>
      <c r="P47" s="154"/>
      <c r="Q47" s="154"/>
      <c r="R47" s="154"/>
      <c r="S47" s="367"/>
      <c r="T47" s="154"/>
      <c r="U47" s="154"/>
      <c r="V47" s="154"/>
      <c r="W47" s="154"/>
      <c r="X47" s="159"/>
      <c r="Y47" s="154"/>
      <c r="Z47" s="154"/>
      <c r="AA47" s="154"/>
      <c r="AB47" s="154"/>
      <c r="AC47" s="159"/>
      <c r="AD47" s="154"/>
      <c r="AE47" s="154"/>
      <c r="AF47" s="154"/>
      <c r="AG47" s="154"/>
      <c r="AH47" s="159"/>
      <c r="AI47" s="154"/>
      <c r="AJ47" s="154"/>
      <c r="AK47" s="154"/>
      <c r="AL47" s="154"/>
      <c r="AM47" s="159"/>
      <c r="AN47" s="154"/>
      <c r="AO47" s="154"/>
      <c r="AP47" s="154"/>
      <c r="AQ47" s="154"/>
      <c r="AR47" s="159"/>
      <c r="AS47" s="154"/>
      <c r="AT47" s="154"/>
      <c r="AU47" s="154"/>
      <c r="AV47" s="154"/>
      <c r="AW47" s="159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</row>
    <row r="48" spans="2:68" s="71" customFormat="1">
      <c r="B48" s="146"/>
      <c r="C48" s="146"/>
      <c r="D48" s="176" t="s">
        <v>127</v>
      </c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  <c r="AO48" s="176"/>
      <c r="AP48" s="176"/>
      <c r="AQ48" s="176"/>
      <c r="AR48" s="176"/>
      <c r="AS48" s="176"/>
      <c r="AT48" s="176"/>
      <c r="AU48" s="176"/>
      <c r="AV48" s="176"/>
      <c r="AW48" s="176"/>
      <c r="AX48" s="146"/>
      <c r="AY48" s="146"/>
      <c r="AZ48" s="146"/>
      <c r="BA48" s="146"/>
      <c r="BB48" s="146"/>
      <c r="BC48" s="146"/>
      <c r="BD48" s="146"/>
      <c r="BE48" s="146"/>
      <c r="BF48" s="146"/>
      <c r="BG48" s="146"/>
      <c r="BH48" s="146"/>
      <c r="BI48" s="146"/>
      <c r="BJ48" s="146"/>
      <c r="BK48" s="146"/>
      <c r="BL48" s="146"/>
      <c r="BM48" s="146"/>
      <c r="BN48" s="146"/>
      <c r="BO48" s="146"/>
      <c r="BP48" s="146"/>
    </row>
    <row r="49" spans="2:68" s="74" customFormat="1">
      <c r="B49" s="177"/>
      <c r="C49" s="177"/>
      <c r="D49" s="177" t="s">
        <v>123</v>
      </c>
      <c r="E49" s="314">
        <f>E5</f>
        <v>7025054</v>
      </c>
      <c r="F49" s="314">
        <f t="shared" ref="F49:V49" si="180">F5</f>
        <v>6642745</v>
      </c>
      <c r="G49" s="314">
        <f t="shared" si="180"/>
        <v>6528517</v>
      </c>
      <c r="H49" s="314">
        <f t="shared" si="180"/>
        <v>7025054</v>
      </c>
      <c r="I49" s="314">
        <f t="shared" si="180"/>
        <v>27221370</v>
      </c>
      <c r="J49" s="314">
        <f t="shared" si="180"/>
        <v>5951600</v>
      </c>
      <c r="K49" s="314">
        <f t="shared" si="180"/>
        <v>5566248</v>
      </c>
      <c r="L49" s="314">
        <f t="shared" si="180"/>
        <v>6316762</v>
      </c>
      <c r="M49" s="314">
        <f t="shared" si="180"/>
        <v>6763177</v>
      </c>
      <c r="N49" s="314">
        <f t="shared" si="180"/>
        <v>24597787</v>
      </c>
      <c r="O49" s="314">
        <f t="shared" si="180"/>
        <v>5772698</v>
      </c>
      <c r="P49" s="314">
        <f t="shared" si="180"/>
        <v>5876813</v>
      </c>
      <c r="Q49" s="314">
        <f t="shared" si="180"/>
        <v>6008525</v>
      </c>
      <c r="R49" s="314">
        <f t="shared" si="180"/>
        <v>6114999</v>
      </c>
      <c r="S49" s="314">
        <f t="shared" si="180"/>
        <v>23773035</v>
      </c>
      <c r="T49" s="314">
        <f t="shared" si="180"/>
        <v>5862597</v>
      </c>
      <c r="U49" s="314">
        <f t="shared" si="180"/>
        <v>6008272</v>
      </c>
      <c r="V49" s="314">
        <f t="shared" si="180"/>
        <v>6270420</v>
      </c>
      <c r="W49" s="378">
        <f>(W29+W34+W39+W44)*1000</f>
        <v>6556799.9999999991</v>
      </c>
      <c r="X49" s="379">
        <f>SUM(T49:W49)</f>
        <v>24698089</v>
      </c>
      <c r="Y49" s="378">
        <f>(Y29+Y34+Y39+Y44)*1000</f>
        <v>6140576.2665448133</v>
      </c>
      <c r="Z49" s="378">
        <f t="shared" ref="Z49:AB49" si="181">(Z29+Z34+Z39+Z44)*1000</f>
        <v>6345947.6241089338</v>
      </c>
      <c r="AA49" s="378">
        <f t="shared" si="181"/>
        <v>6679125.0754146865</v>
      </c>
      <c r="AB49" s="378">
        <f t="shared" si="181"/>
        <v>6995312.8743116641</v>
      </c>
      <c r="AC49" s="379">
        <f>SUM(Y49:AB49)</f>
        <v>26160961.840380099</v>
      </c>
      <c r="AD49" s="378">
        <f>(AD29+AD34+AD39+AD44)*1000</f>
        <v>6454356.0081007853</v>
      </c>
      <c r="AE49" s="378">
        <f t="shared" ref="AE49:AG49" si="182">(AE29+AE34+AE39+AE44)*1000</f>
        <v>6726070.3103388511</v>
      </c>
      <c r="AF49" s="378">
        <f t="shared" si="182"/>
        <v>7139099.6853711484</v>
      </c>
      <c r="AG49" s="378">
        <f t="shared" si="182"/>
        <v>7487203.9901489327</v>
      </c>
      <c r="AH49" s="379">
        <f>SUM(AD49:AG49)</f>
        <v>27806729.993959717</v>
      </c>
      <c r="AI49" s="378">
        <f>(AI29+AI34+AI39+AI44)*1000</f>
        <v>6793120.4603351597</v>
      </c>
      <c r="AJ49" s="378">
        <f t="shared" ref="AJ49:AL49" si="183">(AJ29+AJ34+AJ39+AJ44)*1000</f>
        <v>7136751.841397143</v>
      </c>
      <c r="AK49" s="378">
        <f t="shared" si="183"/>
        <v>7638469.7593175601</v>
      </c>
      <c r="AL49" s="378">
        <f t="shared" si="183"/>
        <v>8021080.1367664142</v>
      </c>
      <c r="AM49" s="379">
        <f>SUM(AI49:AL49)</f>
        <v>29589422.197816279</v>
      </c>
      <c r="AN49" s="378">
        <f>(AN29+AN34+AN39+AN44)*1000</f>
        <v>7147607.770558415</v>
      </c>
      <c r="AO49" s="378">
        <f t="shared" ref="AO49:AQ49" si="184">(AO29+AO34+AO39+AO44)*1000</f>
        <v>7568010.0579911945</v>
      </c>
      <c r="AP49" s="378">
        <f t="shared" si="184"/>
        <v>8166776.2420221586</v>
      </c>
      <c r="AQ49" s="378">
        <f t="shared" si="184"/>
        <v>8586344.0159160215</v>
      </c>
      <c r="AR49" s="379">
        <f>SUM(AN49:AQ49)</f>
        <v>31468738.086487785</v>
      </c>
      <c r="AS49" s="378">
        <f>(AS29+AS34+AS39+AS44)*1000</f>
        <v>7510159.8088597311</v>
      </c>
      <c r="AT49" s="378">
        <f t="shared" ref="AT49:AV49" si="185">(AT29+AT34+AT39+AT44)*1000</f>
        <v>8011259.4959338205</v>
      </c>
      <c r="AU49" s="378">
        <f t="shared" si="185"/>
        <v>8714487.6625214349</v>
      </c>
      <c r="AV49" s="378">
        <f t="shared" si="185"/>
        <v>9173178.9493300952</v>
      </c>
      <c r="AW49" s="379">
        <f>SUM(AS49:AV49)</f>
        <v>33409085.916645084</v>
      </c>
      <c r="AX49" s="177"/>
      <c r="AY49" s="177"/>
      <c r="AZ49" s="177"/>
      <c r="BA49" s="177"/>
      <c r="BB49" s="177"/>
      <c r="BC49" s="177"/>
      <c r="BD49" s="177"/>
      <c r="BE49" s="177"/>
      <c r="BF49" s="177"/>
      <c r="BG49" s="177"/>
      <c r="BH49" s="177"/>
      <c r="BI49" s="177"/>
      <c r="BJ49" s="177"/>
      <c r="BK49" s="177"/>
      <c r="BL49" s="177"/>
      <c r="BM49" s="177"/>
      <c r="BN49" s="177"/>
      <c r="BO49" s="177"/>
      <c r="BP49" s="177"/>
    </row>
    <row r="50" spans="2:68" s="74" customFormat="1">
      <c r="B50" s="177"/>
      <c r="C50" s="177"/>
      <c r="D50" s="177" t="s">
        <v>195</v>
      </c>
      <c r="E50" s="315">
        <f>E51+E143</f>
        <v>299051</v>
      </c>
      <c r="F50" s="315">
        <f t="shared" ref="F50:AW50" si="186">F51+F143</f>
        <v>330067</v>
      </c>
      <c r="G50" s="315">
        <f t="shared" si="186"/>
        <v>305670</v>
      </c>
      <c r="H50" s="315">
        <f t="shared" si="186"/>
        <v>323484</v>
      </c>
      <c r="I50" s="315">
        <f t="shared" si="186"/>
        <v>1258272</v>
      </c>
      <c r="J50" s="315">
        <f t="shared" si="186"/>
        <v>303334</v>
      </c>
      <c r="K50" s="315">
        <f t="shared" si="186"/>
        <v>245240</v>
      </c>
      <c r="L50" s="315">
        <f t="shared" si="186"/>
        <v>283090</v>
      </c>
      <c r="M50" s="315">
        <f t="shared" si="186"/>
        <v>299081</v>
      </c>
      <c r="N50" s="315">
        <f t="shared" si="186"/>
        <v>1130745</v>
      </c>
      <c r="O50" s="315">
        <f t="shared" si="186"/>
        <v>227334</v>
      </c>
      <c r="P50" s="315">
        <f t="shared" si="186"/>
        <v>270822</v>
      </c>
      <c r="Q50" s="315">
        <f t="shared" si="186"/>
        <v>113843</v>
      </c>
      <c r="R50" s="315">
        <f t="shared" si="186"/>
        <v>292506</v>
      </c>
      <c r="S50" s="315">
        <f t="shared" si="186"/>
        <v>904505</v>
      </c>
      <c r="T50" s="315">
        <f t="shared" si="186"/>
        <v>269451</v>
      </c>
      <c r="U50" s="315">
        <f t="shared" si="186"/>
        <v>303781</v>
      </c>
      <c r="V50" s="315">
        <f t="shared" si="186"/>
        <v>379289</v>
      </c>
      <c r="W50" s="346">
        <f t="shared" si="186"/>
        <v>426947.39479443978</v>
      </c>
      <c r="X50" s="380">
        <f t="shared" si="186"/>
        <v>1379468.3947944399</v>
      </c>
      <c r="Y50" s="346">
        <f t="shared" si="186"/>
        <v>381361.89552861731</v>
      </c>
      <c r="Z50" s="346">
        <f t="shared" si="186"/>
        <v>382933.12412374502</v>
      </c>
      <c r="AA50" s="346">
        <f t="shared" si="186"/>
        <v>382139.42533427919</v>
      </c>
      <c r="AB50" s="346">
        <f t="shared" si="186"/>
        <v>436730.0950455924</v>
      </c>
      <c r="AC50" s="380">
        <f t="shared" si="186"/>
        <v>1583164.540032234</v>
      </c>
      <c r="AD50" s="346">
        <f t="shared" si="186"/>
        <v>407023.59352246288</v>
      </c>
      <c r="AE50" s="346">
        <f t="shared" si="186"/>
        <v>415533.28995964024</v>
      </c>
      <c r="AF50" s="346">
        <f t="shared" si="186"/>
        <v>412753.52713331906</v>
      </c>
      <c r="AG50" s="346">
        <f t="shared" si="186"/>
        <v>474553.68730511086</v>
      </c>
      <c r="AH50" s="380">
        <f t="shared" si="186"/>
        <v>1709864.0979205333</v>
      </c>
      <c r="AI50" s="346">
        <f t="shared" si="186"/>
        <v>434023.36168017832</v>
      </c>
      <c r="AJ50" s="346">
        <f t="shared" si="186"/>
        <v>446001.31830234267</v>
      </c>
      <c r="AK50" s="346">
        <f t="shared" si="186"/>
        <v>460948.38780612912</v>
      </c>
      <c r="AL50" s="346">
        <f t="shared" si="186"/>
        <v>517574.82760211779</v>
      </c>
      <c r="AM50" s="380">
        <f t="shared" si="186"/>
        <v>1858547.8953907681</v>
      </c>
      <c r="AN50" s="346">
        <f t="shared" si="186"/>
        <v>459323.37280868716</v>
      </c>
      <c r="AO50" s="346">
        <f t="shared" si="186"/>
        <v>477612.22520943335</v>
      </c>
      <c r="AP50" s="346">
        <f t="shared" si="186"/>
        <v>492518.05500210111</v>
      </c>
      <c r="AQ50" s="346">
        <f t="shared" si="186"/>
        <v>560437.57916659606</v>
      </c>
      <c r="AR50" s="380">
        <f t="shared" si="186"/>
        <v>1989891.2321868176</v>
      </c>
      <c r="AS50" s="346">
        <f t="shared" si="186"/>
        <v>486593.49837604922</v>
      </c>
      <c r="AT50" s="346">
        <f t="shared" si="186"/>
        <v>511168.7907162687</v>
      </c>
      <c r="AU50" s="346">
        <f t="shared" si="186"/>
        <v>532313.1448230634</v>
      </c>
      <c r="AV50" s="346">
        <f t="shared" si="186"/>
        <v>605110.08417041926</v>
      </c>
      <c r="AW50" s="380">
        <f t="shared" si="186"/>
        <v>2135185.5180858006</v>
      </c>
      <c r="AX50" s="177"/>
      <c r="AY50" s="177"/>
      <c r="AZ50" s="177"/>
      <c r="BA50" s="177"/>
      <c r="BB50" s="177"/>
      <c r="BC50" s="177"/>
      <c r="BD50" s="177"/>
      <c r="BE50" s="177"/>
      <c r="BF50" s="177"/>
      <c r="BG50" s="177"/>
      <c r="BH50" s="177"/>
      <c r="BI50" s="177"/>
      <c r="BJ50" s="177"/>
      <c r="BK50" s="177"/>
      <c r="BL50" s="177"/>
      <c r="BM50" s="177"/>
      <c r="BN50" s="177"/>
      <c r="BO50" s="177"/>
      <c r="BP50" s="177"/>
    </row>
    <row r="51" spans="2:68" s="74" customFormat="1">
      <c r="B51" s="177"/>
      <c r="C51" s="177"/>
      <c r="D51" s="177" t="s">
        <v>138</v>
      </c>
      <c r="E51" s="315">
        <f>E15+E13</f>
        <v>179552</v>
      </c>
      <c r="F51" s="315">
        <f t="shared" ref="F51:V51" si="187">F15+F13</f>
        <v>208566</v>
      </c>
      <c r="G51" s="315">
        <f t="shared" si="187"/>
        <v>166843</v>
      </c>
      <c r="H51" s="315">
        <f t="shared" si="187"/>
        <v>179552</v>
      </c>
      <c r="I51" s="315">
        <f t="shared" si="187"/>
        <v>734513</v>
      </c>
      <c r="J51" s="315">
        <f t="shared" si="187"/>
        <v>167104</v>
      </c>
      <c r="K51" s="315">
        <f t="shared" si="187"/>
        <v>135121</v>
      </c>
      <c r="L51" s="315">
        <f t="shared" si="187"/>
        <v>162315</v>
      </c>
      <c r="M51" s="315">
        <f t="shared" si="187"/>
        <v>148116</v>
      </c>
      <c r="N51" s="315">
        <f t="shared" si="187"/>
        <v>612656</v>
      </c>
      <c r="O51" s="315">
        <f t="shared" si="187"/>
        <v>93916</v>
      </c>
      <c r="P51" s="315">
        <f t="shared" si="187"/>
        <v>141322</v>
      </c>
      <c r="Q51" s="315">
        <f t="shared" si="187"/>
        <v>39374</v>
      </c>
      <c r="R51" s="315">
        <f t="shared" si="187"/>
        <v>163080</v>
      </c>
      <c r="S51" s="315">
        <f t="shared" si="187"/>
        <v>437692</v>
      </c>
      <c r="T51" s="315">
        <f t="shared" si="187"/>
        <v>126604</v>
      </c>
      <c r="U51" s="315">
        <f t="shared" si="187"/>
        <v>172385</v>
      </c>
      <c r="V51" s="315">
        <f t="shared" si="187"/>
        <v>245967</v>
      </c>
      <c r="W51" s="378">
        <f>(W31+W36+W41+W46)*1000</f>
        <v>281611.99999999994</v>
      </c>
      <c r="X51" s="379">
        <f>SUM(T51:W51)</f>
        <v>826568</v>
      </c>
      <c r="Y51" s="378">
        <f>(Y31+Y36+Y41+Y46)*1000</f>
        <v>237329.84307174757</v>
      </c>
      <c r="Z51" s="378">
        <f t="shared" ref="Z51:AB51" si="188">(Z31+Z36+Z41+Z46)*1000</f>
        <v>248212.29386571195</v>
      </c>
      <c r="AA51" s="378">
        <f t="shared" si="188"/>
        <v>264640.90894040262</v>
      </c>
      <c r="AB51" s="378">
        <f t="shared" si="188"/>
        <v>283643.40197982395</v>
      </c>
      <c r="AC51" s="379">
        <f>SUM(Y51:AB51)</f>
        <v>1033826.4478576861</v>
      </c>
      <c r="AD51" s="378">
        <f>(AD31+AD36+AD41+AD46)*1000</f>
        <v>254413.55749909818</v>
      </c>
      <c r="AE51" s="378">
        <f t="shared" ref="AE51:AG51" si="189">(AE31+AE36+AE41+AE46)*1000</f>
        <v>269500.52196955419</v>
      </c>
      <c r="AF51" s="378">
        <f t="shared" si="189"/>
        <v>290799.03490095201</v>
      </c>
      <c r="AG51" s="378">
        <f t="shared" si="189"/>
        <v>311794.06699582312</v>
      </c>
      <c r="AH51" s="379">
        <f>SUM(AD51:AG51)</f>
        <v>1126507.1813654276</v>
      </c>
      <c r="AI51" s="378">
        <f>(AI31+AI36+AI41+AI46)*1000</f>
        <v>272197.39062388981</v>
      </c>
      <c r="AJ51" s="378">
        <f t="shared" ref="AJ51:AL51" si="190">(AJ31+AJ36+AJ41+AJ46)*1000</f>
        <v>291823.53699477622</v>
      </c>
      <c r="AK51" s="378">
        <f t="shared" si="190"/>
        <v>318525.12133485201</v>
      </c>
      <c r="AL51" s="378">
        <f t="shared" si="190"/>
        <v>341677.48500826827</v>
      </c>
      <c r="AM51" s="379">
        <f>SUM(AI51:AL51)</f>
        <v>1224223.5339617864</v>
      </c>
      <c r="AN51" s="378">
        <f>(AN31+AN36+AN41+AN46)*1000</f>
        <v>290348.37962390471</v>
      </c>
      <c r="AO51" s="378">
        <f t="shared" ref="AO51:AQ51" si="191">(AO31+AO36+AO41+AO46)*1000</f>
        <v>314788.41686681961</v>
      </c>
      <c r="AP51" s="378">
        <f t="shared" si="191"/>
        <v>347367.10727731651</v>
      </c>
      <c r="AQ51" s="378">
        <f t="shared" si="191"/>
        <v>372820.42189093342</v>
      </c>
      <c r="AR51" s="379">
        <f>SUM(AN51:AQ51)</f>
        <v>1325324.3256589742</v>
      </c>
      <c r="AS51" s="378">
        <f>(AS31+AS36+AS41+AS46)*1000</f>
        <v>308584.396527534</v>
      </c>
      <c r="AT51" s="378">
        <f t="shared" ref="AT51:AV51" si="192">(AT31+AT36+AT41+AT46)*1000</f>
        <v>338046.66350161337</v>
      </c>
      <c r="AU51" s="378">
        <f t="shared" si="192"/>
        <v>376900.46649314964</v>
      </c>
      <c r="AV51" s="378">
        <f t="shared" si="192"/>
        <v>404772.74799740082</v>
      </c>
      <c r="AW51" s="379">
        <f>SUM(AS51:AV51)</f>
        <v>1428304.2745196978</v>
      </c>
      <c r="AX51" s="177"/>
      <c r="AY51" s="177"/>
      <c r="AZ51" s="177"/>
      <c r="BA51" s="177"/>
      <c r="BB51" s="177"/>
      <c r="BC51" s="177"/>
      <c r="BD51" s="177"/>
      <c r="BE51" s="177"/>
      <c r="BF51" s="177"/>
      <c r="BG51" s="177"/>
      <c r="BH51" s="177"/>
      <c r="BI51" s="177"/>
      <c r="BJ51" s="177"/>
      <c r="BK51" s="177"/>
      <c r="BL51" s="177"/>
      <c r="BM51" s="177"/>
      <c r="BN51" s="177"/>
      <c r="BO51" s="177"/>
      <c r="BP51" s="177"/>
    </row>
    <row r="52" spans="2:68" s="74" customFormat="1">
      <c r="B52" s="177"/>
      <c r="C52" s="177"/>
      <c r="D52" s="177"/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147"/>
      <c r="R52" s="147"/>
      <c r="S52" s="147"/>
      <c r="T52" s="147"/>
      <c r="U52" s="147"/>
      <c r="V52" s="147"/>
      <c r="W52" s="149"/>
      <c r="X52" s="191"/>
      <c r="Y52" s="149"/>
      <c r="Z52" s="149"/>
      <c r="AA52" s="149"/>
      <c r="AB52" s="149"/>
      <c r="AC52" s="191"/>
      <c r="AD52" s="149"/>
      <c r="AE52" s="149"/>
      <c r="AF52" s="149"/>
      <c r="AG52" s="149"/>
      <c r="AH52" s="191"/>
      <c r="AI52" s="149"/>
      <c r="AJ52" s="149"/>
      <c r="AK52" s="149"/>
      <c r="AL52" s="149"/>
      <c r="AM52" s="191"/>
      <c r="AN52" s="149"/>
      <c r="AO52" s="149"/>
      <c r="AP52" s="149"/>
      <c r="AQ52" s="149"/>
      <c r="AR52" s="191"/>
      <c r="AS52" s="149"/>
      <c r="AT52" s="149"/>
      <c r="AU52" s="149"/>
      <c r="AV52" s="149"/>
      <c r="AW52" s="191"/>
      <c r="AX52" s="177"/>
      <c r="AY52" s="177"/>
      <c r="AZ52" s="177"/>
      <c r="BA52" s="177"/>
      <c r="BB52" s="177"/>
      <c r="BC52" s="177"/>
      <c r="BD52" s="177"/>
      <c r="BE52" s="177"/>
      <c r="BF52" s="177"/>
      <c r="BG52" s="177"/>
      <c r="BH52" s="177"/>
      <c r="BI52" s="177"/>
      <c r="BJ52" s="177"/>
      <c r="BK52" s="177"/>
      <c r="BL52" s="177"/>
      <c r="BM52" s="177"/>
      <c r="BN52" s="177"/>
      <c r="BO52" s="177"/>
      <c r="BP52" s="177"/>
    </row>
    <row r="53" spans="2:68" s="2" customFormat="1">
      <c r="B53" s="155"/>
      <c r="C53" s="155"/>
      <c r="D53" s="155" t="s">
        <v>128</v>
      </c>
      <c r="E53" s="316">
        <f>E13</f>
        <v>9035</v>
      </c>
      <c r="F53" s="316">
        <f t="shared" ref="F53:U53" si="193">F13</f>
        <v>18637</v>
      </c>
      <c r="G53" s="316">
        <f t="shared" si="193"/>
        <v>12506</v>
      </c>
      <c r="H53" s="316">
        <f t="shared" si="193"/>
        <v>9035</v>
      </c>
      <c r="I53" s="314">
        <f t="shared" si="193"/>
        <v>49213</v>
      </c>
      <c r="J53" s="316">
        <f t="shared" si="193"/>
        <v>11232</v>
      </c>
      <c r="K53" s="316">
        <f t="shared" si="193"/>
        <v>16505</v>
      </c>
      <c r="L53" s="316">
        <f t="shared" si="193"/>
        <v>22035</v>
      </c>
      <c r="M53" s="316">
        <f t="shared" si="193"/>
        <v>21566</v>
      </c>
      <c r="N53" s="314">
        <f t="shared" si="193"/>
        <v>71338</v>
      </c>
      <c r="O53" s="316">
        <f t="shared" si="193"/>
        <v>24687</v>
      </c>
      <c r="P53" s="316">
        <f t="shared" si="193"/>
        <v>24399</v>
      </c>
      <c r="Q53" s="316">
        <f t="shared" si="193"/>
        <v>24632</v>
      </c>
      <c r="R53" s="316">
        <f t="shared" si="193"/>
        <v>22838</v>
      </c>
      <c r="S53" s="314">
        <f t="shared" si="193"/>
        <v>96556</v>
      </c>
      <c r="T53" s="316">
        <f t="shared" si="193"/>
        <v>27663</v>
      </c>
      <c r="U53" s="316">
        <f t="shared" si="193"/>
        <v>26876</v>
      </c>
      <c r="V53" s="316">
        <f>V13</f>
        <v>27554</v>
      </c>
      <c r="W53" s="316">
        <f>W13</f>
        <v>37500</v>
      </c>
      <c r="X53" s="381">
        <f t="shared" ref="X53:X61" si="194">SUM(T53:W53)</f>
        <v>119593</v>
      </c>
      <c r="Y53" s="332">
        <f>W53</f>
        <v>37500</v>
      </c>
      <c r="Z53" s="332">
        <f>Y53</f>
        <v>37500</v>
      </c>
      <c r="AA53" s="332">
        <f t="shared" ref="AA53:AB53" si="195">Z53</f>
        <v>37500</v>
      </c>
      <c r="AB53" s="332">
        <f t="shared" si="195"/>
        <v>37500</v>
      </c>
      <c r="AC53" s="381">
        <f t="shared" ref="AC53" si="196">SUM(Y53:AB53)</f>
        <v>150000</v>
      </c>
      <c r="AD53" s="332">
        <f t="shared" ref="AD53" si="197">AB53</f>
        <v>37500</v>
      </c>
      <c r="AE53" s="332">
        <f t="shared" ref="AE53:AV53" si="198">AD53</f>
        <v>37500</v>
      </c>
      <c r="AF53" s="332">
        <f t="shared" si="198"/>
        <v>37500</v>
      </c>
      <c r="AG53" s="332">
        <f t="shared" si="198"/>
        <v>37500</v>
      </c>
      <c r="AH53" s="381">
        <f t="shared" ref="AH53" si="199">SUM(AD53:AG53)</f>
        <v>150000</v>
      </c>
      <c r="AI53" s="332">
        <f t="shared" ref="AI53" si="200">AG53</f>
        <v>37500</v>
      </c>
      <c r="AJ53" s="332">
        <f t="shared" ref="AJ53" si="201">AI53</f>
        <v>37500</v>
      </c>
      <c r="AK53" s="332">
        <f t="shared" si="198"/>
        <v>37500</v>
      </c>
      <c r="AL53" s="332">
        <f t="shared" si="198"/>
        <v>37500</v>
      </c>
      <c r="AM53" s="381">
        <f t="shared" ref="AM53" si="202">SUM(AI53:AL53)</f>
        <v>150000</v>
      </c>
      <c r="AN53" s="332">
        <f t="shared" ref="AN53" si="203">AL53</f>
        <v>37500</v>
      </c>
      <c r="AO53" s="332">
        <f t="shared" ref="AO53" si="204">AN53</f>
        <v>37500</v>
      </c>
      <c r="AP53" s="332">
        <f t="shared" si="198"/>
        <v>37500</v>
      </c>
      <c r="AQ53" s="332">
        <f t="shared" si="198"/>
        <v>37500</v>
      </c>
      <c r="AR53" s="381">
        <f t="shared" ref="AR53" si="205">SUM(AN53:AQ53)</f>
        <v>150000</v>
      </c>
      <c r="AS53" s="332">
        <f t="shared" ref="AS53" si="206">AQ53</f>
        <v>37500</v>
      </c>
      <c r="AT53" s="332">
        <f t="shared" ref="AT53" si="207">AS53</f>
        <v>37500</v>
      </c>
      <c r="AU53" s="332">
        <f t="shared" si="198"/>
        <v>37500</v>
      </c>
      <c r="AV53" s="332">
        <f t="shared" si="198"/>
        <v>37500</v>
      </c>
      <c r="AW53" s="381">
        <f t="shared" ref="AW53" si="208">SUM(AS53:AV53)</f>
        <v>150000</v>
      </c>
      <c r="AX53" s="155"/>
      <c r="AY53" s="155"/>
      <c r="AZ53" s="155"/>
      <c r="BA53" s="155"/>
      <c r="BB53" s="155"/>
      <c r="BC53" s="155"/>
      <c r="BD53" s="155"/>
      <c r="BE53" s="155"/>
      <c r="BF53" s="155"/>
      <c r="BG53" s="155"/>
      <c r="BH53" s="155"/>
      <c r="BI53" s="155"/>
      <c r="BJ53" s="155"/>
      <c r="BK53" s="155"/>
      <c r="BL53" s="155"/>
      <c r="BM53" s="155"/>
      <c r="BN53" s="155"/>
      <c r="BO53" s="155"/>
      <c r="BP53" s="155"/>
    </row>
    <row r="54" spans="2:68" s="2" customFormat="1">
      <c r="B54" s="155"/>
      <c r="C54" s="155"/>
      <c r="D54" s="155" t="s">
        <v>79</v>
      </c>
      <c r="E54" s="316">
        <f>E11</f>
        <v>8045</v>
      </c>
      <c r="F54" s="316">
        <f t="shared" ref="F54:W54" si="209">F11</f>
        <v>6951</v>
      </c>
      <c r="G54" s="316">
        <f t="shared" si="209"/>
        <v>8232</v>
      </c>
      <c r="H54" s="316">
        <f t="shared" si="209"/>
        <v>8045</v>
      </c>
      <c r="I54" s="314">
        <f t="shared" si="209"/>
        <v>31273</v>
      </c>
      <c r="J54" s="316">
        <f t="shared" si="209"/>
        <v>8807</v>
      </c>
      <c r="K54" s="316">
        <f t="shared" si="209"/>
        <v>7671</v>
      </c>
      <c r="L54" s="316">
        <f t="shared" si="209"/>
        <v>16127</v>
      </c>
      <c r="M54" s="316">
        <f t="shared" si="209"/>
        <v>19319</v>
      </c>
      <c r="N54" s="314">
        <f t="shared" si="209"/>
        <v>51924</v>
      </c>
      <c r="O54" s="316">
        <f t="shared" si="209"/>
        <v>22848</v>
      </c>
      <c r="P54" s="316">
        <f t="shared" si="209"/>
        <v>21598</v>
      </c>
      <c r="Q54" s="316">
        <f t="shared" si="209"/>
        <v>21986</v>
      </c>
      <c r="R54" s="316">
        <f t="shared" si="209"/>
        <v>18734</v>
      </c>
      <c r="S54" s="314">
        <f t="shared" si="209"/>
        <v>85166</v>
      </c>
      <c r="T54" s="316">
        <f t="shared" si="209"/>
        <v>19078</v>
      </c>
      <c r="U54" s="316">
        <f t="shared" si="209"/>
        <v>19901</v>
      </c>
      <c r="V54" s="316">
        <f t="shared" si="209"/>
        <v>16376</v>
      </c>
      <c r="W54" s="316">
        <f t="shared" si="209"/>
        <v>19420.89445936837</v>
      </c>
      <c r="X54" s="381">
        <f>SUM(T54:W54)</f>
        <v>74775.89445936837</v>
      </c>
      <c r="Y54" s="156"/>
      <c r="Z54" s="156"/>
      <c r="AA54" s="156"/>
      <c r="AB54" s="156"/>
      <c r="AC54" s="192"/>
      <c r="AD54" s="156"/>
      <c r="AE54" s="156"/>
      <c r="AF54" s="156"/>
      <c r="AG54" s="156"/>
      <c r="AH54" s="192"/>
      <c r="AI54" s="156"/>
      <c r="AJ54" s="156"/>
      <c r="AK54" s="156"/>
      <c r="AL54" s="156"/>
      <c r="AM54" s="192"/>
      <c r="AN54" s="156"/>
      <c r="AO54" s="156"/>
      <c r="AP54" s="156"/>
      <c r="AQ54" s="156"/>
      <c r="AR54" s="192"/>
      <c r="AS54" s="156"/>
      <c r="AT54" s="156"/>
      <c r="AU54" s="156"/>
      <c r="AV54" s="156"/>
      <c r="AW54" s="192"/>
      <c r="AX54" s="155"/>
      <c r="AY54" s="155"/>
      <c r="AZ54" s="155"/>
      <c r="BA54" s="155"/>
      <c r="BB54" s="155"/>
      <c r="BC54" s="155"/>
      <c r="BD54" s="155"/>
      <c r="BE54" s="155"/>
      <c r="BF54" s="155"/>
      <c r="BG54" s="155"/>
      <c r="BH54" s="155"/>
      <c r="BI54" s="155"/>
      <c r="BJ54" s="155"/>
      <c r="BK54" s="155"/>
      <c r="BL54" s="155"/>
      <c r="BM54" s="155"/>
      <c r="BN54" s="155"/>
      <c r="BO54" s="155"/>
      <c r="BP54" s="155"/>
    </row>
    <row r="55" spans="2:68" s="2" customFormat="1">
      <c r="B55" s="155"/>
      <c r="C55" s="155"/>
      <c r="D55" s="155" t="s">
        <v>128</v>
      </c>
      <c r="E55" s="316">
        <f>E13</f>
        <v>9035</v>
      </c>
      <c r="F55" s="316">
        <f t="shared" ref="F55:W55" si="210">F13</f>
        <v>18637</v>
      </c>
      <c r="G55" s="316">
        <f t="shared" si="210"/>
        <v>12506</v>
      </c>
      <c r="H55" s="316">
        <f t="shared" si="210"/>
        <v>9035</v>
      </c>
      <c r="I55" s="314">
        <f t="shared" si="210"/>
        <v>49213</v>
      </c>
      <c r="J55" s="316">
        <f t="shared" si="210"/>
        <v>11232</v>
      </c>
      <c r="K55" s="316">
        <f t="shared" si="210"/>
        <v>16505</v>
      </c>
      <c r="L55" s="316">
        <f t="shared" si="210"/>
        <v>22035</v>
      </c>
      <c r="M55" s="316">
        <f t="shared" si="210"/>
        <v>21566</v>
      </c>
      <c r="N55" s="314">
        <f t="shared" si="210"/>
        <v>71338</v>
      </c>
      <c r="O55" s="316">
        <f t="shared" si="210"/>
        <v>24687</v>
      </c>
      <c r="P55" s="316">
        <f t="shared" si="210"/>
        <v>24399</v>
      </c>
      <c r="Q55" s="316">
        <f t="shared" si="210"/>
        <v>24632</v>
      </c>
      <c r="R55" s="316">
        <f t="shared" si="210"/>
        <v>22838</v>
      </c>
      <c r="S55" s="314">
        <f t="shared" si="210"/>
        <v>96556</v>
      </c>
      <c r="T55" s="316">
        <f t="shared" si="210"/>
        <v>27663</v>
      </c>
      <c r="U55" s="316">
        <f t="shared" si="210"/>
        <v>26876</v>
      </c>
      <c r="V55" s="316">
        <f t="shared" si="210"/>
        <v>27554</v>
      </c>
      <c r="W55" s="316">
        <f t="shared" si="210"/>
        <v>37500</v>
      </c>
      <c r="X55" s="381">
        <f t="shared" si="194"/>
        <v>119593</v>
      </c>
      <c r="Y55" s="156"/>
      <c r="Z55" s="156"/>
      <c r="AA55" s="156"/>
      <c r="AB55" s="156"/>
      <c r="AC55" s="192"/>
      <c r="AD55" s="156"/>
      <c r="AE55" s="156"/>
      <c r="AF55" s="156"/>
      <c r="AG55" s="156"/>
      <c r="AH55" s="192"/>
      <c r="AI55" s="156"/>
      <c r="AJ55" s="156"/>
      <c r="AK55" s="156"/>
      <c r="AL55" s="156"/>
      <c r="AM55" s="192"/>
      <c r="AN55" s="156"/>
      <c r="AO55" s="156"/>
      <c r="AP55" s="156"/>
      <c r="AQ55" s="156"/>
      <c r="AR55" s="192"/>
      <c r="AS55" s="156"/>
      <c r="AT55" s="156"/>
      <c r="AU55" s="156"/>
      <c r="AV55" s="156"/>
      <c r="AW55" s="192"/>
      <c r="AX55" s="155"/>
      <c r="AY55" s="155"/>
      <c r="AZ55" s="155"/>
      <c r="BA55" s="155"/>
      <c r="BB55" s="155"/>
      <c r="BC55" s="155"/>
      <c r="BD55" s="155"/>
      <c r="BE55" s="155"/>
      <c r="BF55" s="155"/>
      <c r="BG55" s="155"/>
      <c r="BH55" s="155"/>
      <c r="BI55" s="155"/>
      <c r="BJ55" s="155"/>
      <c r="BK55" s="155"/>
      <c r="BL55" s="155"/>
      <c r="BM55" s="155"/>
      <c r="BN55" s="155"/>
      <c r="BO55" s="155"/>
      <c r="BP55" s="155"/>
    </row>
    <row r="56" spans="2:68" s="74" customFormat="1" ht="18" customHeight="1">
      <c r="B56" s="177"/>
      <c r="C56" s="177"/>
      <c r="D56" s="177" t="s">
        <v>129</v>
      </c>
      <c r="E56" s="315">
        <f>E51-E55</f>
        <v>170517</v>
      </c>
      <c r="F56" s="315">
        <f t="shared" ref="F56:V56" si="211">F51-F55</f>
        <v>189929</v>
      </c>
      <c r="G56" s="315">
        <f t="shared" si="211"/>
        <v>154337</v>
      </c>
      <c r="H56" s="315">
        <f t="shared" si="211"/>
        <v>170517</v>
      </c>
      <c r="I56" s="315">
        <f t="shared" si="211"/>
        <v>685300</v>
      </c>
      <c r="J56" s="315">
        <f t="shared" si="211"/>
        <v>155872</v>
      </c>
      <c r="K56" s="315">
        <f t="shared" si="211"/>
        <v>118616</v>
      </c>
      <c r="L56" s="315">
        <f t="shared" si="211"/>
        <v>140280</v>
      </c>
      <c r="M56" s="315">
        <f t="shared" si="211"/>
        <v>126550</v>
      </c>
      <c r="N56" s="315">
        <f t="shared" si="211"/>
        <v>541318</v>
      </c>
      <c r="O56" s="315">
        <f t="shared" si="211"/>
        <v>69229</v>
      </c>
      <c r="P56" s="315">
        <f t="shared" si="211"/>
        <v>116923</v>
      </c>
      <c r="Q56" s="315">
        <f t="shared" si="211"/>
        <v>14742</v>
      </c>
      <c r="R56" s="315">
        <f t="shared" si="211"/>
        <v>140242</v>
      </c>
      <c r="S56" s="315">
        <f t="shared" si="211"/>
        <v>341136</v>
      </c>
      <c r="T56" s="315">
        <f t="shared" si="211"/>
        <v>98941</v>
      </c>
      <c r="U56" s="315">
        <f t="shared" si="211"/>
        <v>145509</v>
      </c>
      <c r="V56" s="315">
        <f t="shared" si="211"/>
        <v>218413</v>
      </c>
      <c r="W56" s="346">
        <f>W51-W53</f>
        <v>244111.99999999994</v>
      </c>
      <c r="X56" s="379">
        <f>SUM(T56:W56)</f>
        <v>706975</v>
      </c>
      <c r="Y56" s="346">
        <f>Y51-Y53</f>
        <v>199829.84307174757</v>
      </c>
      <c r="Z56" s="346">
        <f t="shared" ref="Z56:AB56" si="212">Z51-Z53</f>
        <v>210712.29386571195</v>
      </c>
      <c r="AA56" s="346">
        <f t="shared" si="212"/>
        <v>227140.90894040262</v>
      </c>
      <c r="AB56" s="346">
        <f t="shared" si="212"/>
        <v>246143.40197982395</v>
      </c>
      <c r="AC56" s="379">
        <f t="shared" ref="AC56" si="213">SUM(Y56:AB56)</f>
        <v>883826.44785768609</v>
      </c>
      <c r="AD56" s="346">
        <f>AD51-AD53</f>
        <v>216913.55749909818</v>
      </c>
      <c r="AE56" s="346">
        <f t="shared" ref="AE56:AG56" si="214">AE51-AE53</f>
        <v>232000.52196955419</v>
      </c>
      <c r="AF56" s="346">
        <f t="shared" si="214"/>
        <v>253299.03490095201</v>
      </c>
      <c r="AG56" s="346">
        <f t="shared" si="214"/>
        <v>274294.06699582312</v>
      </c>
      <c r="AH56" s="379">
        <f t="shared" ref="AH56" si="215">SUM(AD56:AG56)</f>
        <v>976507.18136542756</v>
      </c>
      <c r="AI56" s="346">
        <f>AI51-AI53</f>
        <v>234697.39062388981</v>
      </c>
      <c r="AJ56" s="346">
        <f t="shared" ref="AJ56:AL56" si="216">AJ51-AJ53</f>
        <v>254323.53699477622</v>
      </c>
      <c r="AK56" s="346">
        <f t="shared" si="216"/>
        <v>281025.12133485201</v>
      </c>
      <c r="AL56" s="346">
        <f t="shared" si="216"/>
        <v>304177.48500826827</v>
      </c>
      <c r="AM56" s="379">
        <f t="shared" ref="AM56" si="217">SUM(AI56:AL56)</f>
        <v>1074223.5339617864</v>
      </c>
      <c r="AN56" s="346">
        <f>AN51-AN53</f>
        <v>252848.37962390471</v>
      </c>
      <c r="AO56" s="346">
        <f t="shared" ref="AO56:AQ56" si="218">AO51-AO53</f>
        <v>277288.41686681961</v>
      </c>
      <c r="AP56" s="346">
        <f t="shared" si="218"/>
        <v>309867.10727731651</v>
      </c>
      <c r="AQ56" s="346">
        <f t="shared" si="218"/>
        <v>335320.42189093342</v>
      </c>
      <c r="AR56" s="379">
        <f t="shared" ref="AR56" si="219">SUM(AN56:AQ56)</f>
        <v>1175324.3256589742</v>
      </c>
      <c r="AS56" s="346">
        <f>AS51-AS53</f>
        <v>271084.396527534</v>
      </c>
      <c r="AT56" s="346">
        <f t="shared" ref="AT56:AV56" si="220">AT51-AT53</f>
        <v>300546.66350161337</v>
      </c>
      <c r="AU56" s="346">
        <f t="shared" si="220"/>
        <v>339400.46649314964</v>
      </c>
      <c r="AV56" s="346">
        <f t="shared" si="220"/>
        <v>367272.74799740082</v>
      </c>
      <c r="AW56" s="379">
        <f t="shared" ref="AW56" si="221">SUM(AS56:AV56)</f>
        <v>1278304.2745196978</v>
      </c>
      <c r="AX56" s="177"/>
      <c r="AY56" s="177"/>
      <c r="AZ56" s="177"/>
      <c r="BA56" s="177"/>
      <c r="BB56" s="177"/>
      <c r="BC56" s="177"/>
      <c r="BD56" s="177"/>
      <c r="BE56" s="177"/>
      <c r="BF56" s="177"/>
      <c r="BG56" s="177"/>
      <c r="BH56" s="177"/>
      <c r="BI56" s="177"/>
      <c r="BJ56" s="177"/>
      <c r="BK56" s="177"/>
      <c r="BL56" s="177"/>
      <c r="BM56" s="177"/>
      <c r="BN56" s="177"/>
      <c r="BO56" s="177"/>
      <c r="BP56" s="177"/>
    </row>
    <row r="57" spans="2:68" s="74" customFormat="1" ht="18" customHeight="1">
      <c r="B57" s="177"/>
      <c r="C57" s="177"/>
      <c r="D57" s="177"/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78"/>
      <c r="X57" s="191"/>
      <c r="Y57" s="149"/>
      <c r="Z57" s="149"/>
      <c r="AA57" s="149"/>
      <c r="AB57" s="149"/>
      <c r="AC57" s="191"/>
      <c r="AD57" s="149"/>
      <c r="AE57" s="149"/>
      <c r="AF57" s="149"/>
      <c r="AG57" s="149"/>
      <c r="AH57" s="191"/>
      <c r="AI57" s="149"/>
      <c r="AJ57" s="149"/>
      <c r="AK57" s="149"/>
      <c r="AL57" s="149"/>
      <c r="AM57" s="191"/>
      <c r="AN57" s="149"/>
      <c r="AO57" s="149"/>
      <c r="AP57" s="149"/>
      <c r="AQ57" s="149"/>
      <c r="AR57" s="191"/>
      <c r="AS57" s="149"/>
      <c r="AT57" s="149"/>
      <c r="AU57" s="149"/>
      <c r="AV57" s="149"/>
      <c r="AW57" s="191"/>
      <c r="AX57" s="177"/>
      <c r="AY57" s="177"/>
      <c r="AZ57" s="177"/>
      <c r="BA57" s="177"/>
      <c r="BB57" s="177"/>
      <c r="BC57" s="177"/>
      <c r="BD57" s="177"/>
      <c r="BE57" s="177"/>
      <c r="BF57" s="177"/>
      <c r="BG57" s="177"/>
      <c r="BH57" s="177"/>
      <c r="BI57" s="177"/>
      <c r="BJ57" s="177"/>
      <c r="BK57" s="177"/>
      <c r="BL57" s="177"/>
      <c r="BM57" s="177"/>
      <c r="BN57" s="177"/>
      <c r="BO57" s="177"/>
      <c r="BP57" s="177"/>
    </row>
    <row r="58" spans="2:68" s="2" customFormat="1">
      <c r="B58" s="155"/>
      <c r="C58" s="155"/>
      <c r="D58" s="155" t="s">
        <v>82</v>
      </c>
      <c r="E58" s="316">
        <f>E17</f>
        <v>17618</v>
      </c>
      <c r="F58" s="316">
        <f t="shared" ref="F58:V58" si="222">F17</f>
        <v>16042</v>
      </c>
      <c r="G58" s="316">
        <f t="shared" si="222"/>
        <v>15434</v>
      </c>
      <c r="H58" s="316">
        <f t="shared" si="222"/>
        <v>17618</v>
      </c>
      <c r="I58" s="314">
        <f t="shared" si="222"/>
        <v>66712</v>
      </c>
      <c r="J58" s="316">
        <f t="shared" si="222"/>
        <v>20760</v>
      </c>
      <c r="K58" s="316">
        <f t="shared" si="222"/>
        <v>7766</v>
      </c>
      <c r="L58" s="316">
        <f t="shared" si="222"/>
        <v>17303</v>
      </c>
      <c r="M58" s="316">
        <f t="shared" si="222"/>
        <v>-22360</v>
      </c>
      <c r="N58" s="314">
        <f t="shared" si="222"/>
        <v>23469</v>
      </c>
      <c r="O58" s="316">
        <f t="shared" si="222"/>
        <v>7885</v>
      </c>
      <c r="P58" s="316">
        <f t="shared" si="222"/>
        <v>11194</v>
      </c>
      <c r="Q58" s="316">
        <f t="shared" si="222"/>
        <v>17250</v>
      </c>
      <c r="R58" s="316">
        <f t="shared" si="222"/>
        <v>10773</v>
      </c>
      <c r="S58" s="314">
        <f t="shared" si="222"/>
        <v>47102</v>
      </c>
      <c r="T58" s="316">
        <f t="shared" si="222"/>
        <v>12067</v>
      </c>
      <c r="U58" s="316">
        <f t="shared" si="222"/>
        <v>20799</v>
      </c>
      <c r="V58" s="316">
        <f t="shared" si="222"/>
        <v>13327</v>
      </c>
      <c r="W58" s="331">
        <f>W56*W64</f>
        <v>30513.999999999993</v>
      </c>
      <c r="X58" s="381">
        <f>SUM(T58:W58)</f>
        <v>76707</v>
      </c>
      <c r="Y58" s="331">
        <f>Y56*Y64</f>
        <v>24978.730383968446</v>
      </c>
      <c r="Z58" s="331">
        <f t="shared" ref="Z58:AB58" si="223">Z56*Z64</f>
        <v>26339.036733213994</v>
      </c>
      <c r="AA58" s="331">
        <f t="shared" si="223"/>
        <v>28392.613617550327</v>
      </c>
      <c r="AB58" s="331">
        <f t="shared" si="223"/>
        <v>30767.925247477993</v>
      </c>
      <c r="AC58" s="381">
        <f t="shared" ref="AC58:AC59" si="224">SUM(Y58:AB58)</f>
        <v>110478.30598221076</v>
      </c>
      <c r="AD58" s="331">
        <f>AD56*AD64</f>
        <v>27114.194687387273</v>
      </c>
      <c r="AE58" s="331">
        <f t="shared" ref="AE58:AG58" si="225">AE56*AE64</f>
        <v>29000.065246194274</v>
      </c>
      <c r="AF58" s="331">
        <f t="shared" si="225"/>
        <v>31662.379362619002</v>
      </c>
      <c r="AG58" s="331">
        <f t="shared" si="225"/>
        <v>34286.758374477889</v>
      </c>
      <c r="AH58" s="381">
        <f t="shared" ref="AH58:AH59" si="226">SUM(AD58:AG58)</f>
        <v>122063.39767067845</v>
      </c>
      <c r="AI58" s="331">
        <f>AI56*AI64</f>
        <v>29337.173827986226</v>
      </c>
      <c r="AJ58" s="331">
        <f t="shared" ref="AJ58:AL58" si="227">AJ56*AJ64</f>
        <v>31790.442124347028</v>
      </c>
      <c r="AK58" s="331">
        <f t="shared" si="227"/>
        <v>35128.140166856501</v>
      </c>
      <c r="AL58" s="331">
        <f t="shared" si="227"/>
        <v>38022.185626033533</v>
      </c>
      <c r="AM58" s="381">
        <f t="shared" ref="AM58:AM59" si="228">SUM(AI58:AL58)</f>
        <v>134277.9417452233</v>
      </c>
      <c r="AN58" s="331">
        <f>AN56*AN64</f>
        <v>31606.047452988088</v>
      </c>
      <c r="AO58" s="331">
        <f t="shared" ref="AO58:AQ58" si="229">AO56*AO64</f>
        <v>34661.052108352451</v>
      </c>
      <c r="AP58" s="331">
        <f t="shared" si="229"/>
        <v>38733.388409664563</v>
      </c>
      <c r="AQ58" s="331">
        <f t="shared" si="229"/>
        <v>41915.052736366677</v>
      </c>
      <c r="AR58" s="381">
        <f t="shared" ref="AR58:AR59" si="230">SUM(AN58:AQ58)</f>
        <v>146915.54070737178</v>
      </c>
      <c r="AS58" s="331">
        <f>AS56*AS64</f>
        <v>33885.54956594175</v>
      </c>
      <c r="AT58" s="331">
        <f t="shared" ref="AT58:AV58" si="231">AT56*AT64</f>
        <v>37568.332937701671</v>
      </c>
      <c r="AU58" s="331">
        <f t="shared" si="231"/>
        <v>42425.058311643705</v>
      </c>
      <c r="AV58" s="331">
        <f t="shared" si="231"/>
        <v>45909.093499675102</v>
      </c>
      <c r="AW58" s="381">
        <f t="shared" ref="AW58:AW59" si="232">SUM(AS58:AV58)</f>
        <v>159788.03431496222</v>
      </c>
      <c r="AX58" s="155"/>
      <c r="AY58" s="155"/>
      <c r="AZ58" s="155"/>
      <c r="BA58" s="155"/>
      <c r="BB58" s="155"/>
      <c r="BC58" s="155"/>
      <c r="BD58" s="155"/>
      <c r="BE58" s="155"/>
      <c r="BF58" s="155"/>
      <c r="BG58" s="155"/>
      <c r="BH58" s="155"/>
      <c r="BI58" s="155"/>
      <c r="BJ58" s="155"/>
      <c r="BK58" s="155"/>
      <c r="BL58" s="155"/>
      <c r="BM58" s="155"/>
      <c r="BN58" s="155"/>
      <c r="BO58" s="155"/>
      <c r="BP58" s="155"/>
    </row>
    <row r="59" spans="2:68" s="74" customFormat="1">
      <c r="B59" s="177"/>
      <c r="C59" s="177"/>
      <c r="D59" s="177" t="s">
        <v>83</v>
      </c>
      <c r="E59" s="314">
        <f>E18</f>
        <v>152899</v>
      </c>
      <c r="F59" s="314">
        <f t="shared" ref="F59:V59" si="233">F18</f>
        <v>173887</v>
      </c>
      <c r="G59" s="314">
        <f t="shared" si="233"/>
        <v>138903</v>
      </c>
      <c r="H59" s="314">
        <f t="shared" si="233"/>
        <v>152899</v>
      </c>
      <c r="I59" s="314">
        <f t="shared" si="233"/>
        <v>618588</v>
      </c>
      <c r="J59" s="314">
        <f t="shared" si="233"/>
        <v>135112</v>
      </c>
      <c r="K59" s="314">
        <f t="shared" si="233"/>
        <v>110850</v>
      </c>
      <c r="L59" s="314">
        <f t="shared" si="233"/>
        <v>122977</v>
      </c>
      <c r="M59" s="314">
        <f t="shared" si="233"/>
        <v>148910</v>
      </c>
      <c r="N59" s="314">
        <f t="shared" si="233"/>
        <v>517849</v>
      </c>
      <c r="O59" s="314">
        <f t="shared" si="233"/>
        <v>61344</v>
      </c>
      <c r="P59" s="314">
        <f t="shared" si="233"/>
        <v>105729</v>
      </c>
      <c r="Q59" s="314">
        <f t="shared" si="233"/>
        <v>-2508</v>
      </c>
      <c r="R59" s="314">
        <f t="shared" si="233"/>
        <v>129469</v>
      </c>
      <c r="S59" s="314">
        <f t="shared" si="233"/>
        <v>294034</v>
      </c>
      <c r="T59" s="314">
        <f t="shared" si="233"/>
        <v>86874</v>
      </c>
      <c r="U59" s="314">
        <f t="shared" si="233"/>
        <v>124710</v>
      </c>
      <c r="V59" s="314">
        <f t="shared" si="233"/>
        <v>205086</v>
      </c>
      <c r="W59" s="378">
        <f>W56-W58</f>
        <v>213597.99999999994</v>
      </c>
      <c r="X59" s="379">
        <f t="shared" si="194"/>
        <v>630268</v>
      </c>
      <c r="Y59" s="378">
        <f>Y56-Y58</f>
        <v>174851.11268777912</v>
      </c>
      <c r="Z59" s="378">
        <f t="shared" ref="Z59:AB59" si="234">Z56-Z58</f>
        <v>184373.25713249797</v>
      </c>
      <c r="AA59" s="378">
        <f t="shared" si="234"/>
        <v>198748.2953228523</v>
      </c>
      <c r="AB59" s="378">
        <f t="shared" si="234"/>
        <v>215375.47673234594</v>
      </c>
      <c r="AC59" s="379">
        <f t="shared" si="224"/>
        <v>773348.14187547541</v>
      </c>
      <c r="AD59" s="378">
        <f>AD56-AD58</f>
        <v>189799.36281171092</v>
      </c>
      <c r="AE59" s="378">
        <f t="shared" ref="AE59" si="235">AE56-AE58</f>
        <v>203000.45672335991</v>
      </c>
      <c r="AF59" s="378">
        <f t="shared" ref="AF59" si="236">AF56-AF58</f>
        <v>221636.655538333</v>
      </c>
      <c r="AG59" s="378">
        <f t="shared" ref="AG59" si="237">AG56-AG58</f>
        <v>240007.30862134523</v>
      </c>
      <c r="AH59" s="379">
        <f t="shared" si="226"/>
        <v>854443.783694749</v>
      </c>
      <c r="AI59" s="378">
        <f>AI56-AI58</f>
        <v>205360.21679590357</v>
      </c>
      <c r="AJ59" s="378">
        <f t="shared" ref="AJ59" si="238">AJ56-AJ58</f>
        <v>222533.09487042919</v>
      </c>
      <c r="AK59" s="378">
        <f t="shared" ref="AK59" si="239">AK56-AK58</f>
        <v>245896.98116799552</v>
      </c>
      <c r="AL59" s="378">
        <f t="shared" ref="AL59" si="240">AL56-AL58</f>
        <v>266155.29938223475</v>
      </c>
      <c r="AM59" s="379">
        <f t="shared" si="228"/>
        <v>939945.59221656295</v>
      </c>
      <c r="AN59" s="378">
        <f>AN56-AN58</f>
        <v>221242.3321709166</v>
      </c>
      <c r="AO59" s="378">
        <f t="shared" ref="AO59" si="241">AO56-AO58</f>
        <v>242627.36475846716</v>
      </c>
      <c r="AP59" s="378">
        <f t="shared" ref="AP59" si="242">AP56-AP58</f>
        <v>271133.71886765194</v>
      </c>
      <c r="AQ59" s="378">
        <f t="shared" ref="AQ59" si="243">AQ56-AQ58</f>
        <v>293405.36915456672</v>
      </c>
      <c r="AR59" s="379">
        <f t="shared" si="230"/>
        <v>1028408.7849516023</v>
      </c>
      <c r="AS59" s="378">
        <f>AS56-AS58</f>
        <v>237198.84696159227</v>
      </c>
      <c r="AT59" s="378">
        <f t="shared" ref="AT59" si="244">AT56-AT58</f>
        <v>262978.3305639117</v>
      </c>
      <c r="AU59" s="378">
        <f t="shared" ref="AU59" si="245">AU56-AU58</f>
        <v>296975.40818150592</v>
      </c>
      <c r="AV59" s="378">
        <f t="shared" ref="AV59" si="246">AV56-AV58</f>
        <v>321363.65449772571</v>
      </c>
      <c r="AW59" s="379">
        <f t="shared" si="232"/>
        <v>1118516.2402047357</v>
      </c>
      <c r="AX59" s="177"/>
      <c r="AY59" s="177"/>
      <c r="AZ59" s="177"/>
      <c r="BA59" s="177"/>
      <c r="BB59" s="177"/>
      <c r="BC59" s="177"/>
      <c r="BD59" s="177"/>
      <c r="BE59" s="177"/>
      <c r="BF59" s="177"/>
      <c r="BG59" s="177"/>
      <c r="BH59" s="177"/>
      <c r="BI59" s="177"/>
      <c r="BJ59" s="177"/>
      <c r="BK59" s="177"/>
      <c r="BL59" s="177"/>
      <c r="BM59" s="177"/>
      <c r="BN59" s="177"/>
      <c r="BO59" s="177"/>
      <c r="BP59" s="177"/>
    </row>
    <row r="60" spans="2:68">
      <c r="B60" s="143"/>
      <c r="C60" s="143"/>
      <c r="D60" s="143"/>
      <c r="E60" s="154"/>
      <c r="F60" s="154"/>
      <c r="G60" s="154"/>
      <c r="H60" s="154"/>
      <c r="I60" s="165"/>
      <c r="J60" s="154"/>
      <c r="K60" s="154"/>
      <c r="L60" s="154"/>
      <c r="M60" s="154"/>
      <c r="O60" s="154"/>
      <c r="P60" s="154"/>
      <c r="Q60" s="154"/>
      <c r="R60" s="154"/>
      <c r="S60" s="165"/>
      <c r="T60" s="154"/>
      <c r="U60" s="154"/>
      <c r="V60" s="154"/>
      <c r="W60" s="154"/>
      <c r="X60" s="159"/>
      <c r="Y60" s="154"/>
      <c r="Z60" s="154"/>
      <c r="AA60" s="154"/>
      <c r="AB60" s="154"/>
      <c r="AC60" s="159"/>
      <c r="AD60" s="154"/>
      <c r="AE60" s="154"/>
      <c r="AF60" s="154"/>
      <c r="AG60" s="154"/>
      <c r="AH60" s="159"/>
      <c r="AI60" s="154"/>
      <c r="AJ60" s="154"/>
      <c r="AK60" s="154"/>
      <c r="AL60" s="154"/>
      <c r="AM60" s="159"/>
      <c r="AN60" s="154"/>
      <c r="AO60" s="154"/>
      <c r="AP60" s="154"/>
      <c r="AQ60" s="154"/>
      <c r="AR60" s="159"/>
      <c r="AS60" s="154"/>
      <c r="AT60" s="154"/>
      <c r="AU60" s="154"/>
      <c r="AV60" s="154"/>
      <c r="AW60" s="159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</row>
    <row r="61" spans="2:68" s="76" customFormat="1">
      <c r="B61" s="179"/>
      <c r="C61" s="179"/>
      <c r="D61" s="179" t="s">
        <v>130</v>
      </c>
      <c r="E61" s="317">
        <f>E20</f>
        <v>0.26491751811032355</v>
      </c>
      <c r="F61" s="317">
        <f t="shared" ref="F61:V61" si="247">F20</f>
        <v>0.29611244599673381</v>
      </c>
      <c r="G61" s="317">
        <f t="shared" si="247"/>
        <v>0.23713295547664573</v>
      </c>
      <c r="H61" s="317">
        <f t="shared" si="247"/>
        <v>0.26491751811032355</v>
      </c>
      <c r="I61" s="317">
        <f t="shared" si="247"/>
        <v>1.0630804376940266</v>
      </c>
      <c r="J61" s="317">
        <f t="shared" si="247"/>
        <v>0.23221025277905721</v>
      </c>
      <c r="K61" s="317">
        <f t="shared" si="247"/>
        <v>0.19600562289472986</v>
      </c>
      <c r="L61" s="317">
        <f t="shared" si="247"/>
        <v>0.2183024960369799</v>
      </c>
      <c r="M61" s="317">
        <f t="shared" si="247"/>
        <v>0.26834547023980077</v>
      </c>
      <c r="N61" s="317">
        <f t="shared" si="247"/>
        <v>0.91486384195056769</v>
      </c>
      <c r="O61" s="317">
        <f t="shared" si="247"/>
        <v>0.11</v>
      </c>
      <c r="P61" s="317">
        <f t="shared" si="247"/>
        <v>0.19412960334611876</v>
      </c>
      <c r="Q61" s="317">
        <f t="shared" si="247"/>
        <v>-4.6098280504728384E-3</v>
      </c>
      <c r="R61" s="317">
        <f t="shared" si="247"/>
        <v>0.23991824148781221</v>
      </c>
      <c r="S61" s="317">
        <f t="shared" si="247"/>
        <v>0.53943801678345815</v>
      </c>
      <c r="T61" s="317">
        <f t="shared" si="247"/>
        <v>0.16064513981604417</v>
      </c>
      <c r="U61" s="317">
        <f t="shared" si="247"/>
        <v>0.23518296408608477</v>
      </c>
      <c r="V61" s="317">
        <f t="shared" si="247"/>
        <v>0.38599846041787045</v>
      </c>
      <c r="W61" s="382">
        <f>W59/W23</f>
        <v>0.39924859813084101</v>
      </c>
      <c r="X61" s="383">
        <f t="shared" si="194"/>
        <v>1.1810751624508404</v>
      </c>
      <c r="Y61" s="382">
        <f>Y59/Y23</f>
        <v>0.32682450969678339</v>
      </c>
      <c r="Z61" s="382">
        <f t="shared" ref="Z61:AB61" si="248">Z59/Z23</f>
        <v>0.34462291052803357</v>
      </c>
      <c r="AA61" s="382">
        <f t="shared" si="248"/>
        <v>0.37149214079037812</v>
      </c>
      <c r="AB61" s="382">
        <f t="shared" si="248"/>
        <v>0.40257098454644102</v>
      </c>
      <c r="AC61" s="383">
        <f t="shared" ref="AC61" si="249">SUM(Y61:AB61)</f>
        <v>1.4455105455616359</v>
      </c>
      <c r="AD61" s="382">
        <f>AD59/AD23</f>
        <v>0.35476516413403908</v>
      </c>
      <c r="AE61" s="382">
        <f t="shared" ref="AE61:AG61" si="250">AE59/AE23</f>
        <v>0.3794401060249718</v>
      </c>
      <c r="AF61" s="382">
        <f t="shared" si="250"/>
        <v>0.41427412250155699</v>
      </c>
      <c r="AG61" s="382">
        <f t="shared" si="250"/>
        <v>0.44861179181559857</v>
      </c>
      <c r="AH61" s="383">
        <f t="shared" ref="AH61" si="251">SUM(AD61:AG61)</f>
        <v>1.5970911844761664</v>
      </c>
      <c r="AI61" s="382">
        <f>AI59/AI23</f>
        <v>0.3838508725157076</v>
      </c>
      <c r="AJ61" s="382">
        <f t="shared" ref="AJ61:AL61" si="252">AJ59/AJ23</f>
        <v>0.41594971003818543</v>
      </c>
      <c r="AK61" s="382">
        <f t="shared" si="252"/>
        <v>0.45962052554765515</v>
      </c>
      <c r="AL61" s="382">
        <f t="shared" si="252"/>
        <v>0.49748654090137334</v>
      </c>
      <c r="AM61" s="383">
        <f t="shared" ref="AM61" si="253">SUM(AI61:AL61)</f>
        <v>1.7569076490029214</v>
      </c>
      <c r="AN61" s="382">
        <f>AN59/AN23</f>
        <v>0.41353706947834878</v>
      </c>
      <c r="AO61" s="382">
        <f t="shared" ref="AO61:AQ61" si="254">AO59/AO23</f>
        <v>0.45350909300648068</v>
      </c>
      <c r="AP61" s="382">
        <f t="shared" si="254"/>
        <v>0.50679199788346163</v>
      </c>
      <c r="AQ61" s="382">
        <f t="shared" si="254"/>
        <v>0.54842125075619952</v>
      </c>
      <c r="AR61" s="383">
        <f t="shared" ref="AR61" si="255">SUM(AN61:AQ61)</f>
        <v>1.9222594111244908</v>
      </c>
      <c r="AS61" s="382">
        <f>AS59/AS23</f>
        <v>0.44336233076933135</v>
      </c>
      <c r="AT61" s="382">
        <f t="shared" ref="AT61:AV61" si="256">AT59/AT23</f>
        <v>0.49154828142787232</v>
      </c>
      <c r="AU61" s="382">
        <f t="shared" si="256"/>
        <v>0.55509422090001104</v>
      </c>
      <c r="AV61" s="382">
        <f t="shared" si="256"/>
        <v>0.60067972803313219</v>
      </c>
      <c r="AW61" s="383">
        <f t="shared" ref="AW61" si="257">SUM(AS61:AV61)</f>
        <v>2.0906845611303471</v>
      </c>
      <c r="AX61" s="179"/>
      <c r="AY61" s="179"/>
      <c r="AZ61" s="179"/>
      <c r="BA61" s="179"/>
      <c r="BB61" s="179"/>
      <c r="BC61" s="179"/>
      <c r="BD61" s="179"/>
      <c r="BE61" s="179"/>
      <c r="BF61" s="179"/>
      <c r="BG61" s="179"/>
      <c r="BH61" s="179"/>
      <c r="BI61" s="179"/>
      <c r="BJ61" s="179"/>
      <c r="BK61" s="179"/>
      <c r="BL61" s="179"/>
      <c r="BM61" s="179"/>
      <c r="BN61" s="179"/>
      <c r="BO61" s="179"/>
      <c r="BP61" s="179"/>
    </row>
    <row r="62" spans="2:68" s="76" customFormat="1">
      <c r="B62" s="179"/>
      <c r="C62" s="179"/>
      <c r="D62" s="179" t="s">
        <v>131</v>
      </c>
      <c r="E62" s="317">
        <f>E21</f>
        <v>0.26038613694458967</v>
      </c>
      <c r="F62" s="317">
        <f t="shared" ref="F62:V62" si="258">F21</f>
        <v>0.28918509895227007</v>
      </c>
      <c r="G62" s="317">
        <f t="shared" si="258"/>
        <v>0.23310917967143896</v>
      </c>
      <c r="H62" s="317">
        <f t="shared" si="258"/>
        <v>0.26038613694458967</v>
      </c>
      <c r="I62" s="317">
        <f t="shared" si="258"/>
        <v>1.0430665525128884</v>
      </c>
      <c r="J62" s="317">
        <f t="shared" si="258"/>
        <v>0.27</v>
      </c>
      <c r="K62" s="317">
        <f t="shared" si="258"/>
        <v>0.19178300233392215</v>
      </c>
      <c r="L62" s="317">
        <f t="shared" si="258"/>
        <v>0.21587978688855536</v>
      </c>
      <c r="M62" s="317">
        <f t="shared" si="258"/>
        <v>0.2654386127530321</v>
      </c>
      <c r="N62" s="317">
        <f t="shared" si="258"/>
        <v>0.94310140197550973</v>
      </c>
      <c r="O62" s="317">
        <f t="shared" si="258"/>
        <v>0.28999999999999998</v>
      </c>
      <c r="P62" s="317">
        <f t="shared" si="258"/>
        <v>0.19187556371806203</v>
      </c>
      <c r="Q62" s="317">
        <f t="shared" si="258"/>
        <v>-4.6098280504728384E-3</v>
      </c>
      <c r="R62" s="317">
        <f t="shared" si="258"/>
        <v>0.23754820906312038</v>
      </c>
      <c r="S62" s="317">
        <f t="shared" si="258"/>
        <v>0.71481394473070958</v>
      </c>
      <c r="T62" s="317">
        <f t="shared" si="258"/>
        <v>0.28999999999999998</v>
      </c>
      <c r="U62" s="317">
        <f t="shared" si="258"/>
        <v>0.23153055976889644</v>
      </c>
      <c r="V62" s="317">
        <f t="shared" si="258"/>
        <v>0.38260957167563092</v>
      </c>
      <c r="W62" s="180"/>
      <c r="X62" s="193"/>
      <c r="Y62" s="180"/>
      <c r="Z62" s="180"/>
      <c r="AA62" s="180"/>
      <c r="AB62" s="180"/>
      <c r="AC62" s="193"/>
      <c r="AD62" s="180"/>
      <c r="AE62" s="180"/>
      <c r="AF62" s="180"/>
      <c r="AG62" s="180"/>
      <c r="AH62" s="193"/>
      <c r="AI62" s="180"/>
      <c r="AJ62" s="180"/>
      <c r="AK62" s="180"/>
      <c r="AL62" s="180"/>
      <c r="AM62" s="193"/>
      <c r="AN62" s="180"/>
      <c r="AO62" s="180"/>
      <c r="AP62" s="180"/>
      <c r="AQ62" s="180"/>
      <c r="AR62" s="193"/>
      <c r="AS62" s="180"/>
      <c r="AT62" s="180"/>
      <c r="AU62" s="180"/>
      <c r="AV62" s="180"/>
      <c r="AW62" s="193"/>
      <c r="AX62" s="179"/>
      <c r="AY62" s="179"/>
      <c r="AZ62" s="179"/>
      <c r="BA62" s="179"/>
      <c r="BB62" s="179"/>
      <c r="BC62" s="179"/>
      <c r="BD62" s="179"/>
      <c r="BE62" s="179"/>
      <c r="BF62" s="179"/>
      <c r="BG62" s="179"/>
      <c r="BH62" s="179"/>
      <c r="BI62" s="179"/>
      <c r="BJ62" s="179"/>
      <c r="BK62" s="179"/>
      <c r="BL62" s="179"/>
      <c r="BM62" s="179"/>
      <c r="BN62" s="179"/>
      <c r="BO62" s="179"/>
      <c r="BP62" s="179"/>
    </row>
    <row r="63" spans="2:68">
      <c r="B63" s="143"/>
      <c r="C63" s="143"/>
      <c r="D63" s="143"/>
      <c r="E63" s="154"/>
      <c r="F63" s="154"/>
      <c r="G63" s="154"/>
      <c r="H63" s="154"/>
      <c r="I63" s="165"/>
      <c r="J63" s="154"/>
      <c r="K63" s="154"/>
      <c r="L63" s="154"/>
      <c r="M63" s="154"/>
      <c r="O63" s="154"/>
      <c r="P63" s="154"/>
      <c r="Q63" s="154"/>
      <c r="R63" s="154"/>
      <c r="S63" s="165"/>
      <c r="T63" s="154"/>
      <c r="U63" s="154"/>
      <c r="V63" s="154"/>
      <c r="W63" s="154"/>
      <c r="X63" s="154"/>
      <c r="Y63" s="154"/>
      <c r="Z63" s="154"/>
      <c r="AA63" s="154"/>
      <c r="AB63" s="154"/>
      <c r="AC63" s="154"/>
      <c r="AD63" s="154"/>
      <c r="AE63" s="154"/>
      <c r="AF63" s="154"/>
      <c r="AG63" s="154"/>
      <c r="AH63" s="154"/>
      <c r="AI63" s="154"/>
      <c r="AJ63" s="154"/>
      <c r="AK63" s="154"/>
      <c r="AL63" s="154"/>
      <c r="AM63" s="154"/>
      <c r="AN63" s="154"/>
      <c r="AO63" s="154"/>
      <c r="AP63" s="154"/>
      <c r="AQ63" s="154"/>
      <c r="AR63" s="154"/>
      <c r="AS63" s="154"/>
      <c r="AT63" s="154"/>
      <c r="AU63" s="154"/>
      <c r="AV63" s="154"/>
      <c r="AW63" s="154"/>
      <c r="AX63" s="143"/>
      <c r="AY63" s="143"/>
      <c r="AZ63" s="143"/>
      <c r="BA63" s="143"/>
      <c r="BB63" s="143"/>
      <c r="BC63" s="143"/>
      <c r="BD63" s="143"/>
      <c r="BE63" s="143"/>
      <c r="BF63" s="143"/>
      <c r="BG63" s="143"/>
      <c r="BH63" s="143"/>
      <c r="BI63" s="143"/>
      <c r="BJ63" s="143"/>
      <c r="BK63" s="143"/>
      <c r="BL63" s="143"/>
      <c r="BM63" s="143"/>
      <c r="BN63" s="143"/>
      <c r="BO63" s="143"/>
      <c r="BP63" s="143"/>
    </row>
    <row r="64" spans="2:68" s="42" customFormat="1">
      <c r="B64" s="181"/>
      <c r="C64" s="181"/>
      <c r="D64" s="182" t="s">
        <v>132</v>
      </c>
      <c r="E64" s="319">
        <f>E17/E15</f>
        <v>0.10332107649090706</v>
      </c>
      <c r="F64" s="319">
        <f t="shared" ref="F64:V64" si="259">F17/F15</f>
        <v>8.446314148971458E-2</v>
      </c>
      <c r="G64" s="319">
        <f t="shared" si="259"/>
        <v>0.10000194379831148</v>
      </c>
      <c r="H64" s="319">
        <f t="shared" si="259"/>
        <v>0.10332107649090706</v>
      </c>
      <c r="I64" s="371">
        <f t="shared" si="259"/>
        <v>9.7347147234787684E-2</v>
      </c>
      <c r="J64" s="319">
        <f t="shared" si="259"/>
        <v>0.13318620406487375</v>
      </c>
      <c r="K64" s="319">
        <f t="shared" si="259"/>
        <v>6.5471774465502119E-2</v>
      </c>
      <c r="L64" s="319">
        <f t="shared" si="259"/>
        <v>0.12334616481323069</v>
      </c>
      <c r="M64" s="319">
        <f t="shared" si="259"/>
        <v>-0.17668905570920584</v>
      </c>
      <c r="N64" s="371">
        <f t="shared" si="259"/>
        <v>4.3355292083396453E-2</v>
      </c>
      <c r="O64" s="319">
        <f t="shared" si="259"/>
        <v>0.11389735515463173</v>
      </c>
      <c r="P64" s="319">
        <f t="shared" si="259"/>
        <v>9.5738220880408467E-2</v>
      </c>
      <c r="Q64" s="319">
        <f t="shared" si="259"/>
        <v>1.17012617012617</v>
      </c>
      <c r="R64" s="319">
        <f t="shared" si="259"/>
        <v>7.681721595527731E-2</v>
      </c>
      <c r="S64" s="371">
        <f t="shared" si="259"/>
        <v>0.13807396463580507</v>
      </c>
      <c r="T64" s="319">
        <f t="shared" si="259"/>
        <v>0.12196157305869154</v>
      </c>
      <c r="U64" s="319">
        <f t="shared" si="259"/>
        <v>0.14293961198276395</v>
      </c>
      <c r="V64" s="319">
        <f t="shared" si="259"/>
        <v>6.1017430281164582E-2</v>
      </c>
      <c r="W64" s="336">
        <v>0.125</v>
      </c>
      <c r="X64" s="384">
        <f>X58/X56</f>
        <v>0.10850030057639945</v>
      </c>
      <c r="Y64" s="386">
        <f>W64</f>
        <v>0.125</v>
      </c>
      <c r="Z64" s="386">
        <f>Y64</f>
        <v>0.125</v>
      </c>
      <c r="AA64" s="386">
        <f t="shared" ref="AA64:AB64" si="260">Z64</f>
        <v>0.125</v>
      </c>
      <c r="AB64" s="386">
        <f t="shared" si="260"/>
        <v>0.125</v>
      </c>
      <c r="AC64" s="386">
        <f>AB64</f>
        <v>0.125</v>
      </c>
      <c r="AD64" s="386">
        <f>AC64</f>
        <v>0.125</v>
      </c>
      <c r="AE64" s="386">
        <f t="shared" ref="AE64:AW64" si="261">AD64</f>
        <v>0.125</v>
      </c>
      <c r="AF64" s="386">
        <f t="shared" si="261"/>
        <v>0.125</v>
      </c>
      <c r="AG64" s="386">
        <f t="shared" si="261"/>
        <v>0.125</v>
      </c>
      <c r="AH64" s="386">
        <f t="shared" si="261"/>
        <v>0.125</v>
      </c>
      <c r="AI64" s="386">
        <f t="shared" si="261"/>
        <v>0.125</v>
      </c>
      <c r="AJ64" s="386">
        <f t="shared" si="261"/>
        <v>0.125</v>
      </c>
      <c r="AK64" s="386">
        <f t="shared" si="261"/>
        <v>0.125</v>
      </c>
      <c r="AL64" s="386">
        <f t="shared" si="261"/>
        <v>0.125</v>
      </c>
      <c r="AM64" s="386">
        <f t="shared" si="261"/>
        <v>0.125</v>
      </c>
      <c r="AN64" s="386">
        <f t="shared" si="261"/>
        <v>0.125</v>
      </c>
      <c r="AO64" s="386">
        <f t="shared" si="261"/>
        <v>0.125</v>
      </c>
      <c r="AP64" s="386">
        <f t="shared" si="261"/>
        <v>0.125</v>
      </c>
      <c r="AQ64" s="386">
        <f t="shared" si="261"/>
        <v>0.125</v>
      </c>
      <c r="AR64" s="386">
        <f t="shared" si="261"/>
        <v>0.125</v>
      </c>
      <c r="AS64" s="386">
        <f t="shared" si="261"/>
        <v>0.125</v>
      </c>
      <c r="AT64" s="386">
        <f t="shared" si="261"/>
        <v>0.125</v>
      </c>
      <c r="AU64" s="386">
        <f t="shared" si="261"/>
        <v>0.125</v>
      </c>
      <c r="AV64" s="386">
        <f t="shared" si="261"/>
        <v>0.125</v>
      </c>
      <c r="AW64" s="386">
        <f t="shared" si="261"/>
        <v>0.125</v>
      </c>
      <c r="AX64" s="181"/>
      <c r="AY64" s="181"/>
      <c r="AZ64" s="181"/>
      <c r="BA64" s="181"/>
      <c r="BB64" s="181"/>
      <c r="BC64" s="181"/>
      <c r="BD64" s="181"/>
      <c r="BE64" s="181"/>
      <c r="BF64" s="181"/>
      <c r="BG64" s="181"/>
      <c r="BH64" s="181"/>
      <c r="BI64" s="181"/>
      <c r="BJ64" s="181"/>
      <c r="BK64" s="181"/>
      <c r="BL64" s="181"/>
      <c r="BM64" s="181"/>
      <c r="BN64" s="181"/>
      <c r="BO64" s="181"/>
      <c r="BP64" s="181"/>
    </row>
    <row r="65" spans="2:68" s="42" customFormat="1">
      <c r="B65" s="181"/>
      <c r="C65" s="181"/>
      <c r="D65" s="182" t="s">
        <v>133</v>
      </c>
      <c r="E65" s="319">
        <f>E8/E5</f>
        <v>5.8171367793044722E-2</v>
      </c>
      <c r="F65" s="319">
        <f t="shared" ref="F65:V65" si="262">F8/F5</f>
        <v>5.7323440836581863E-2</v>
      </c>
      <c r="G65" s="319">
        <f t="shared" si="262"/>
        <v>5.7759059216664368E-2</v>
      </c>
      <c r="H65" s="319">
        <f t="shared" si="262"/>
        <v>5.8171367793044722E-2</v>
      </c>
      <c r="I65" s="371">
        <f t="shared" si="262"/>
        <v>5.7865566648555897E-2</v>
      </c>
      <c r="J65" s="319">
        <f t="shared" si="262"/>
        <v>6.3649606828415889E-2</v>
      </c>
      <c r="K65" s="319">
        <f t="shared" si="262"/>
        <v>6.3299551151871067E-2</v>
      </c>
      <c r="L65" s="319">
        <f t="shared" si="262"/>
        <v>6.2835357735498032E-2</v>
      </c>
      <c r="M65" s="319">
        <f t="shared" si="262"/>
        <v>6.6901546418199606E-2</v>
      </c>
      <c r="N65" s="371">
        <f t="shared" si="262"/>
        <v>6.4255414521639687E-2</v>
      </c>
      <c r="O65" s="319">
        <f t="shared" si="262"/>
        <v>7.0389443549619263E-2</v>
      </c>
      <c r="P65" s="319">
        <f t="shared" si="262"/>
        <v>6.9084212820792495E-2</v>
      </c>
      <c r="Q65" s="319">
        <f t="shared" si="262"/>
        <v>5.2207654956915379E-2</v>
      </c>
      <c r="R65" s="319">
        <f t="shared" si="262"/>
        <v>6.8103854146174023E-2</v>
      </c>
      <c r="S65" s="371">
        <f t="shared" si="262"/>
        <v>6.4883511928535836E-2</v>
      </c>
      <c r="T65" s="319">
        <f t="shared" si="262"/>
        <v>6.5637122933744213E-2</v>
      </c>
      <c r="U65" s="319">
        <f t="shared" si="262"/>
        <v>6.7728624802605469E-2</v>
      </c>
      <c r="V65" s="319">
        <f t="shared" si="262"/>
        <v>6.272705815559404E-2</v>
      </c>
      <c r="W65" s="384">
        <f>AVERAGE(R65,T65:V65)</f>
        <v>6.6049165009529426E-2</v>
      </c>
      <c r="X65" s="384">
        <f>1-X6/X5</f>
        <v>6.6203428335466885E-2</v>
      </c>
      <c r="Y65" s="384">
        <f>AVERAGE(T65:W65)</f>
        <v>6.5535492725368294E-2</v>
      </c>
      <c r="Z65" s="384">
        <f>AVERAGE(Y65,U65:W65)</f>
        <v>6.5510085173274307E-2</v>
      </c>
      <c r="AA65" s="386">
        <f>Z65</f>
        <v>6.5510085173274307E-2</v>
      </c>
      <c r="AB65" s="386">
        <f>AA65</f>
        <v>6.5510085173274307E-2</v>
      </c>
      <c r="AC65" s="386">
        <f t="shared" ref="AC65:AC66" si="263">AB65</f>
        <v>6.5510085173274307E-2</v>
      </c>
      <c r="AD65" s="386">
        <f>AC65</f>
        <v>6.5510085173274307E-2</v>
      </c>
      <c r="AE65" s="386">
        <f t="shared" ref="AE65:AW65" si="264">AD65</f>
        <v>6.5510085173274307E-2</v>
      </c>
      <c r="AF65" s="386">
        <f t="shared" si="264"/>
        <v>6.5510085173274307E-2</v>
      </c>
      <c r="AG65" s="386">
        <f t="shared" si="264"/>
        <v>6.5510085173274307E-2</v>
      </c>
      <c r="AH65" s="386">
        <f t="shared" si="264"/>
        <v>6.5510085173274307E-2</v>
      </c>
      <c r="AI65" s="386">
        <f t="shared" si="264"/>
        <v>6.5510085173274307E-2</v>
      </c>
      <c r="AJ65" s="386">
        <f t="shared" si="264"/>
        <v>6.5510085173274307E-2</v>
      </c>
      <c r="AK65" s="386">
        <f t="shared" si="264"/>
        <v>6.5510085173274307E-2</v>
      </c>
      <c r="AL65" s="386">
        <f t="shared" si="264"/>
        <v>6.5510085173274307E-2</v>
      </c>
      <c r="AM65" s="386">
        <f t="shared" si="264"/>
        <v>6.5510085173274307E-2</v>
      </c>
      <c r="AN65" s="386">
        <f t="shared" si="264"/>
        <v>6.5510085173274307E-2</v>
      </c>
      <c r="AO65" s="386">
        <f t="shared" si="264"/>
        <v>6.5510085173274307E-2</v>
      </c>
      <c r="AP65" s="386">
        <f t="shared" si="264"/>
        <v>6.5510085173274307E-2</v>
      </c>
      <c r="AQ65" s="386">
        <f t="shared" si="264"/>
        <v>6.5510085173274307E-2</v>
      </c>
      <c r="AR65" s="386">
        <f t="shared" si="264"/>
        <v>6.5510085173274307E-2</v>
      </c>
      <c r="AS65" s="386">
        <f t="shared" si="264"/>
        <v>6.5510085173274307E-2</v>
      </c>
      <c r="AT65" s="386">
        <f t="shared" si="264"/>
        <v>6.5510085173274307E-2</v>
      </c>
      <c r="AU65" s="386">
        <f t="shared" si="264"/>
        <v>6.5510085173274307E-2</v>
      </c>
      <c r="AV65" s="386">
        <f t="shared" si="264"/>
        <v>6.5510085173274307E-2</v>
      </c>
      <c r="AW65" s="386">
        <f t="shared" si="264"/>
        <v>6.5510085173274307E-2</v>
      </c>
      <c r="AX65" s="181"/>
      <c r="AY65" s="181"/>
      <c r="AZ65" s="181"/>
      <c r="BA65" s="181"/>
      <c r="BB65" s="181"/>
      <c r="BC65" s="181"/>
      <c r="BD65" s="181"/>
      <c r="BE65" s="181"/>
      <c r="BF65" s="181"/>
      <c r="BG65" s="181"/>
      <c r="BH65" s="181"/>
      <c r="BI65" s="181"/>
      <c r="BJ65" s="181"/>
      <c r="BK65" s="181"/>
      <c r="BL65" s="181"/>
      <c r="BM65" s="181"/>
      <c r="BN65" s="181"/>
      <c r="BO65" s="181"/>
      <c r="BP65" s="181"/>
    </row>
    <row r="66" spans="2:68" s="42" customFormat="1">
      <c r="B66" s="181"/>
      <c r="C66" s="181"/>
      <c r="D66" s="182" t="s">
        <v>137</v>
      </c>
      <c r="E66" s="319">
        <f>E15/E5</f>
        <v>2.4272695982123411E-2</v>
      </c>
      <c r="F66" s="319">
        <f t="shared" ref="F66:V66" si="265">F15/F5</f>
        <v>2.859194504681423E-2</v>
      </c>
      <c r="G66" s="319">
        <f t="shared" si="265"/>
        <v>2.3640437790083107E-2</v>
      </c>
      <c r="H66" s="319">
        <f t="shared" si="265"/>
        <v>2.4272695982123411E-2</v>
      </c>
      <c r="I66" s="371">
        <f t="shared" si="265"/>
        <v>2.517507384823027E-2</v>
      </c>
      <c r="J66" s="319">
        <f t="shared" si="265"/>
        <v>2.6189932119094025E-2</v>
      </c>
      <c r="K66" s="319">
        <f t="shared" si="265"/>
        <v>2.1309866179156946E-2</v>
      </c>
      <c r="L66" s="319">
        <f t="shared" si="265"/>
        <v>2.2207580402744318E-2</v>
      </c>
      <c r="M66" s="319">
        <f t="shared" si="265"/>
        <v>1.8711620293243841E-2</v>
      </c>
      <c r="N66" s="371">
        <f t="shared" si="265"/>
        <v>2.2006776463264766E-2</v>
      </c>
      <c r="O66" s="319">
        <f t="shared" si="265"/>
        <v>1.1992486009141653E-2</v>
      </c>
      <c r="P66" s="319">
        <f t="shared" si="265"/>
        <v>1.9895647521879632E-2</v>
      </c>
      <c r="Q66" s="319">
        <f t="shared" si="265"/>
        <v>2.4535139655739138E-3</v>
      </c>
      <c r="R66" s="319">
        <f t="shared" si="265"/>
        <v>2.2934100234521707E-2</v>
      </c>
      <c r="S66" s="371">
        <f t="shared" si="265"/>
        <v>1.4349703350876318E-2</v>
      </c>
      <c r="T66" s="319">
        <f t="shared" si="265"/>
        <v>1.6876650399131988E-2</v>
      </c>
      <c r="U66" s="319">
        <f t="shared" si="265"/>
        <v>2.4218111297224891E-2</v>
      </c>
      <c r="V66" s="319">
        <f t="shared" si="265"/>
        <v>3.4832275987892361E-2</v>
      </c>
      <c r="W66" s="384">
        <f>W51/W49</f>
        <v>4.2949609565641776E-2</v>
      </c>
      <c r="X66" s="384">
        <f t="shared" ref="X66:Y66" si="266">X51/X49</f>
        <v>3.3466880777699035E-2</v>
      </c>
      <c r="Y66" s="384">
        <f t="shared" si="266"/>
        <v>3.8649441480724189E-2</v>
      </c>
      <c r="Z66" s="384">
        <f>Z51/Z49</f>
        <v>3.9113511262325408E-2</v>
      </c>
      <c r="AA66" s="384">
        <f t="shared" ref="AA66:AW66" si="267">AA51/AA49</f>
        <v>3.9622092108220007E-2</v>
      </c>
      <c r="AB66" s="384">
        <f t="shared" si="267"/>
        <v>4.0547636263908261E-2</v>
      </c>
      <c r="AC66" s="386">
        <f t="shared" si="263"/>
        <v>4.0547636263908261E-2</v>
      </c>
      <c r="AD66" s="384">
        <f t="shared" si="267"/>
        <v>3.9417341897438993E-2</v>
      </c>
      <c r="AE66" s="384">
        <f t="shared" si="267"/>
        <v>4.006805007008276E-2</v>
      </c>
      <c r="AF66" s="384">
        <f t="shared" si="267"/>
        <v>4.0733292392153217E-2</v>
      </c>
      <c r="AG66" s="384">
        <f t="shared" si="267"/>
        <v>4.1643591840967192E-2</v>
      </c>
      <c r="AH66" s="384">
        <f t="shared" si="267"/>
        <v>4.0512033655526261E-2</v>
      </c>
      <c r="AI66" s="384">
        <f t="shared" si="267"/>
        <v>4.0069566293317302E-2</v>
      </c>
      <c r="AJ66" s="384">
        <f t="shared" si="267"/>
        <v>4.0890245798100598E-2</v>
      </c>
      <c r="AK66" s="384">
        <f t="shared" si="267"/>
        <v>4.1700122062577866E-2</v>
      </c>
      <c r="AL66" s="384">
        <f t="shared" si="267"/>
        <v>4.2597440641705238E-2</v>
      </c>
      <c r="AM66" s="384">
        <f t="shared" si="267"/>
        <v>4.1373688400449235E-2</v>
      </c>
      <c r="AN66" s="384">
        <f t="shared" si="267"/>
        <v>4.0621756109767745E-2</v>
      </c>
      <c r="AO66" s="384">
        <f t="shared" si="267"/>
        <v>4.1594608682427557E-2</v>
      </c>
      <c r="AP66" s="384">
        <f t="shared" si="267"/>
        <v>4.2534177132212657E-2</v>
      </c>
      <c r="AQ66" s="384">
        <f t="shared" si="267"/>
        <v>4.3420158940738598E-2</v>
      </c>
      <c r="AR66" s="384">
        <f t="shared" si="267"/>
        <v>4.2115585379257678E-2</v>
      </c>
      <c r="AS66" s="384">
        <f t="shared" si="267"/>
        <v>4.1088925453157094E-2</v>
      </c>
      <c r="AT66" s="384">
        <f t="shared" si="267"/>
        <v>4.2196444101354064E-2</v>
      </c>
      <c r="AU66" s="384">
        <f t="shared" si="267"/>
        <v>4.3249870914855125E-2</v>
      </c>
      <c r="AV66" s="384">
        <f t="shared" si="267"/>
        <v>4.4125678811374414E-2</v>
      </c>
      <c r="AW66" s="384">
        <f t="shared" si="267"/>
        <v>4.2751971068088625E-2</v>
      </c>
      <c r="AX66" s="181"/>
      <c r="AY66" s="181"/>
      <c r="AZ66" s="181"/>
      <c r="BA66" s="181"/>
      <c r="BB66" s="181"/>
      <c r="BC66" s="181"/>
      <c r="BD66" s="181"/>
      <c r="BE66" s="181"/>
      <c r="BF66" s="181"/>
      <c r="BG66" s="181"/>
      <c r="BH66" s="181"/>
      <c r="BI66" s="181"/>
      <c r="BJ66" s="181"/>
      <c r="BK66" s="181"/>
      <c r="BL66" s="181"/>
      <c r="BM66" s="181"/>
      <c r="BN66" s="181"/>
      <c r="BO66" s="181"/>
      <c r="BP66" s="181"/>
    </row>
    <row r="67" spans="2:68" s="42" customFormat="1">
      <c r="B67" s="181"/>
      <c r="C67" s="181"/>
      <c r="D67" s="182" t="s">
        <v>134</v>
      </c>
      <c r="E67" s="319">
        <f>E18/E5</f>
        <v>2.1764814903913906E-2</v>
      </c>
      <c r="F67" s="319">
        <f t="shared" ref="F67:V67" si="268">F18/F5</f>
        <v>2.6176979546859016E-2</v>
      </c>
      <c r="G67" s="319">
        <f t="shared" si="268"/>
        <v>2.1276348058831739E-2</v>
      </c>
      <c r="H67" s="319">
        <f t="shared" si="268"/>
        <v>2.1764814903913906E-2</v>
      </c>
      <c r="I67" s="371">
        <f t="shared" si="268"/>
        <v>2.2724352227679944E-2</v>
      </c>
      <c r="J67" s="319">
        <f t="shared" si="268"/>
        <v>2.2701794475435178E-2</v>
      </c>
      <c r="K67" s="319">
        <f t="shared" si="268"/>
        <v>1.9914671426785151E-2</v>
      </c>
      <c r="L67" s="319">
        <f t="shared" si="268"/>
        <v>1.9468360530284345E-2</v>
      </c>
      <c r="M67" s="319">
        <f t="shared" si="268"/>
        <v>2.2017758813646308E-2</v>
      </c>
      <c r="N67" s="371">
        <f t="shared" si="268"/>
        <v>2.1052666241885905E-2</v>
      </c>
      <c r="O67" s="319">
        <f t="shared" si="268"/>
        <v>1.0626573570971494E-2</v>
      </c>
      <c r="P67" s="319">
        <f t="shared" si="268"/>
        <v>1.7990873624871166E-2</v>
      </c>
      <c r="Q67" s="319">
        <f t="shared" si="268"/>
        <v>-4.1740693431416195E-4</v>
      </c>
      <c r="R67" s="319">
        <f t="shared" si="268"/>
        <v>2.1172366504066478E-2</v>
      </c>
      <c r="S67" s="371">
        <f t="shared" si="268"/>
        <v>1.2368382917873129E-2</v>
      </c>
      <c r="T67" s="319">
        <f t="shared" si="268"/>
        <v>1.4818347568492258E-2</v>
      </c>
      <c r="U67" s="319">
        <f t="shared" si="268"/>
        <v>2.0756383865444174E-2</v>
      </c>
      <c r="V67" s="319">
        <f t="shared" si="268"/>
        <v>3.2706900016266853E-2</v>
      </c>
      <c r="W67" s="361">
        <f>W59/W49</f>
        <v>3.2576561737432889E-2</v>
      </c>
      <c r="X67" s="361">
        <f t="shared" ref="X67:AW67" si="269">X59/X49</f>
        <v>2.5518897433724527E-2</v>
      </c>
      <c r="Y67" s="361">
        <f t="shared" si="269"/>
        <v>2.8474707437542268E-2</v>
      </c>
      <c r="Z67" s="361">
        <f t="shared" si="269"/>
        <v>2.9053699786623553E-2</v>
      </c>
      <c r="AA67" s="361">
        <f t="shared" si="269"/>
        <v>2.9756636247826609E-2</v>
      </c>
      <c r="AB67" s="361">
        <f t="shared" si="269"/>
        <v>3.0788540927633463E-2</v>
      </c>
      <c r="AC67" s="361">
        <f t="shared" si="269"/>
        <v>2.9561150946743601E-2</v>
      </c>
      <c r="AD67" s="361">
        <f t="shared" si="269"/>
        <v>2.9406398186510939E-2</v>
      </c>
      <c r="AE67" s="361">
        <f t="shared" si="269"/>
        <v>3.0181138072749792E-2</v>
      </c>
      <c r="AF67" s="361">
        <f t="shared" si="269"/>
        <v>3.1045463056426074E-2</v>
      </c>
      <c r="AG67" s="361">
        <f t="shared" si="269"/>
        <v>3.2055665764833943E-2</v>
      </c>
      <c r="AH67" s="361">
        <f t="shared" si="269"/>
        <v>3.07279490929122E-2</v>
      </c>
      <c r="AI67" s="361">
        <f t="shared" si="269"/>
        <v>3.0230616105661034E-2</v>
      </c>
      <c r="AJ67" s="361">
        <f t="shared" si="269"/>
        <v>3.1181285242344155E-2</v>
      </c>
      <c r="AK67" s="361">
        <f t="shared" si="269"/>
        <v>3.2191916563922424E-2</v>
      </c>
      <c r="AL67" s="361">
        <f t="shared" si="269"/>
        <v>3.3181977345202229E-2</v>
      </c>
      <c r="AM67" s="361">
        <f t="shared" si="269"/>
        <v>3.1766270592669149E-2</v>
      </c>
      <c r="AN67" s="361">
        <f t="shared" si="269"/>
        <v>3.0953339812829685E-2</v>
      </c>
      <c r="AO67" s="361">
        <f t="shared" si="269"/>
        <v>3.2059598613016202E-2</v>
      </c>
      <c r="AP67" s="361">
        <f t="shared" si="269"/>
        <v>3.3199601756263755E-2</v>
      </c>
      <c r="AQ67" s="361">
        <f t="shared" si="269"/>
        <v>3.4171163956475278E-2</v>
      </c>
      <c r="AR67" s="361">
        <f t="shared" si="269"/>
        <v>3.2680331258442996E-2</v>
      </c>
      <c r="AS67" s="361">
        <f t="shared" si="269"/>
        <v>3.1583728309185766E-2</v>
      </c>
      <c r="AT67" s="361">
        <f t="shared" si="269"/>
        <v>3.2826090666191562E-2</v>
      </c>
      <c r="AU67" s="361">
        <f t="shared" si="269"/>
        <v>3.4078355456134704E-2</v>
      </c>
      <c r="AV67" s="361">
        <f t="shared" si="269"/>
        <v>3.5032964719520103E-2</v>
      </c>
      <c r="AW67" s="361">
        <f t="shared" si="269"/>
        <v>3.3479402668944863E-2</v>
      </c>
      <c r="AX67" s="181"/>
      <c r="AY67" s="181"/>
      <c r="AZ67" s="181"/>
      <c r="BA67" s="181"/>
      <c r="BB67" s="181"/>
      <c r="BC67" s="181"/>
      <c r="BD67" s="181"/>
      <c r="BE67" s="181"/>
      <c r="BF67" s="181"/>
      <c r="BG67" s="181"/>
      <c r="BH67" s="181"/>
      <c r="BI67" s="181"/>
      <c r="BJ67" s="181"/>
      <c r="BK67" s="181"/>
      <c r="BL67" s="181"/>
      <c r="BM67" s="181"/>
      <c r="BN67" s="181"/>
      <c r="BO67" s="181"/>
      <c r="BP67" s="181"/>
    </row>
    <row r="68" spans="2:68" s="42" customFormat="1">
      <c r="B68" s="181"/>
      <c r="C68" s="181"/>
      <c r="D68" s="182"/>
      <c r="E68" s="182"/>
      <c r="F68" s="182"/>
      <c r="G68" s="182"/>
      <c r="H68" s="182"/>
      <c r="I68" s="167"/>
      <c r="J68" s="182"/>
      <c r="K68" s="182"/>
      <c r="L68" s="182"/>
      <c r="M68" s="182"/>
      <c r="N68" s="167"/>
      <c r="O68" s="182"/>
      <c r="P68" s="182"/>
      <c r="Q68" s="182"/>
      <c r="R68" s="182"/>
      <c r="S68" s="167"/>
      <c r="T68" s="182"/>
      <c r="U68" s="182"/>
      <c r="V68" s="182"/>
      <c r="W68" s="182"/>
      <c r="X68" s="182"/>
      <c r="Y68" s="182"/>
      <c r="Z68" s="182"/>
      <c r="AA68" s="182"/>
      <c r="AB68" s="182"/>
      <c r="AC68" s="182"/>
      <c r="AD68" s="182"/>
      <c r="AE68" s="182"/>
      <c r="AF68" s="182"/>
      <c r="AG68" s="182"/>
      <c r="AH68" s="182"/>
      <c r="AI68" s="182"/>
      <c r="AJ68" s="182"/>
      <c r="AK68" s="182"/>
      <c r="AL68" s="182"/>
      <c r="AM68" s="182"/>
      <c r="AN68" s="182"/>
      <c r="AO68" s="182"/>
      <c r="AP68" s="182"/>
      <c r="AQ68" s="182"/>
      <c r="AR68" s="182"/>
      <c r="AS68" s="182"/>
      <c r="AT68" s="182"/>
      <c r="AU68" s="182"/>
      <c r="AV68" s="182"/>
      <c r="AW68" s="182"/>
      <c r="AX68" s="181"/>
      <c r="AY68" s="181"/>
      <c r="AZ68" s="181"/>
      <c r="BA68" s="181"/>
      <c r="BB68" s="181"/>
      <c r="BC68" s="181"/>
      <c r="BD68" s="181"/>
      <c r="BE68" s="181"/>
      <c r="BF68" s="181"/>
      <c r="BG68" s="181"/>
      <c r="BH68" s="181"/>
      <c r="BI68" s="181"/>
      <c r="BJ68" s="181"/>
      <c r="BK68" s="181"/>
      <c r="BL68" s="181"/>
      <c r="BM68" s="181"/>
      <c r="BN68" s="181"/>
      <c r="BO68" s="181"/>
      <c r="BP68" s="181"/>
    </row>
    <row r="69" spans="2:68" s="42" customFormat="1">
      <c r="B69" s="181"/>
      <c r="C69" s="181"/>
      <c r="D69" s="182" t="s">
        <v>135</v>
      </c>
      <c r="E69" s="182"/>
      <c r="F69" s="182"/>
      <c r="G69" s="182"/>
      <c r="H69" s="182"/>
      <c r="I69" s="167"/>
      <c r="J69" s="361">
        <f t="shared" ref="J69:V69" si="270">J5/E5-1</f>
        <v>-0.15280366528143419</v>
      </c>
      <c r="K69" s="361">
        <f t="shared" si="270"/>
        <v>-0.16205604761284675</v>
      </c>
      <c r="L69" s="361">
        <f t="shared" si="270"/>
        <v>-3.2435390763323468E-2</v>
      </c>
      <c r="M69" s="361">
        <f t="shared" si="270"/>
        <v>-3.7277578222174479E-2</v>
      </c>
      <c r="N69" s="377">
        <f t="shared" si="270"/>
        <v>-9.6379535636891167E-2</v>
      </c>
      <c r="O69" s="361">
        <f t="shared" si="270"/>
        <v>-3.0059479803750233E-2</v>
      </c>
      <c r="P69" s="361">
        <f t="shared" si="270"/>
        <v>5.5794316027600654E-2</v>
      </c>
      <c r="Q69" s="361">
        <f t="shared" si="270"/>
        <v>-4.8796677791564713E-2</v>
      </c>
      <c r="R69" s="361">
        <f t="shared" si="270"/>
        <v>-9.5839277901495157E-2</v>
      </c>
      <c r="S69" s="377">
        <f t="shared" si="270"/>
        <v>-3.3529520358884346E-2</v>
      </c>
      <c r="T69" s="361">
        <f t="shared" si="270"/>
        <v>1.5573134087388585E-2</v>
      </c>
      <c r="U69" s="361">
        <f t="shared" si="270"/>
        <v>2.2369096991855963E-2</v>
      </c>
      <c r="V69" s="361">
        <f t="shared" si="270"/>
        <v>4.3587236468184853E-2</v>
      </c>
      <c r="W69" s="385">
        <f t="shared" ref="W69" si="271">W5/R5-1</f>
        <v>7.2248744439696422E-2</v>
      </c>
      <c r="X69" s="385">
        <f t="shared" ref="X69" si="272">X5/S5-1</f>
        <v>3.8911901656645931E-2</v>
      </c>
      <c r="Y69" s="385">
        <f t="shared" ref="Y69" si="273">Y5/T5-1</f>
        <v>4.7415721487390927E-2</v>
      </c>
      <c r="Z69" s="385">
        <f t="shared" ref="Z69" si="274">Z5/U5-1</f>
        <v>5.6201787154265714E-2</v>
      </c>
      <c r="AA69" s="385">
        <f t="shared" ref="AA69" si="275">AA5/V5-1</f>
        <v>6.517985643939106E-2</v>
      </c>
      <c r="AB69" s="385">
        <f t="shared" ref="AB69:AC69" si="276">AB5/W5-1</f>
        <v>6.6879098693213956E-2</v>
      </c>
      <c r="AC69" s="385">
        <f t="shared" si="276"/>
        <v>5.9230203615352472E-2</v>
      </c>
      <c r="AD69" s="385">
        <f t="shared" ref="AD69" si="277">AD5/Y5-1</f>
        <v>5.1099396528223595E-2</v>
      </c>
      <c r="AE69" s="385">
        <f t="shared" ref="AE69" si="278">AE5/Z5-1</f>
        <v>5.9900066742717861E-2</v>
      </c>
      <c r="AF69" s="385">
        <f t="shared" ref="AF69" si="279">AF5/AA5-1</f>
        <v>6.8867494583922495E-2</v>
      </c>
      <c r="AG69" s="385">
        <f t="shared" ref="AG69" si="280">AG5/AB5-1</f>
        <v>7.0317243084809133E-2</v>
      </c>
      <c r="AH69" s="385">
        <f t="shared" ref="AH69" si="281">AH5/AC5-1</f>
        <v>6.2909313641493769E-2</v>
      </c>
      <c r="AI69" s="385">
        <f t="shared" ref="AI69" si="282">AI5/AD5-1</f>
        <v>5.2486173958981475E-2</v>
      </c>
      <c r="AJ69" s="385">
        <f t="shared" ref="AJ69" si="283">AJ5/AE5-1</f>
        <v>6.1058168010378999E-2</v>
      </c>
      <c r="AK69" s="385">
        <f t="shared" ref="AK69" si="284">AK5/AF5-1</f>
        <v>6.9948606400563218E-2</v>
      </c>
      <c r="AL69" s="385">
        <f t="shared" ref="AL69" si="285">AL5/AG5-1</f>
        <v>7.1305142389590737E-2</v>
      </c>
      <c r="AM69" s="385">
        <f t="shared" ref="AM69" si="286">AM5/AH5-1</f>
        <v>6.4110098679125649E-2</v>
      </c>
      <c r="AN69" s="385">
        <f t="shared" ref="AN69" si="287">AN5/AI5-1</f>
        <v>5.2183280466333137E-2</v>
      </c>
      <c r="AO69" s="385">
        <f t="shared" ref="AO69" si="288">AO5/AJ5-1</f>
        <v>6.0427800514586183E-2</v>
      </c>
      <c r="AP69" s="385">
        <f t="shared" ref="AP69" si="289">AP5/AK5-1</f>
        <v>6.9163916249083801E-2</v>
      </c>
      <c r="AQ69" s="385">
        <f t="shared" ref="AQ69" si="290">AQ5/AL5-1</f>
        <v>7.047228920686055E-2</v>
      </c>
      <c r="AR69" s="385">
        <f t="shared" ref="AR69" si="291">AR5/AM5-1</f>
        <v>6.3513098569738302E-2</v>
      </c>
      <c r="AS69" s="385">
        <f t="shared" ref="AS69" si="292">AS5/AN5-1</f>
        <v>5.0723549744111196E-2</v>
      </c>
      <c r="AT69" s="385">
        <f t="shared" ref="AT69" si="293">AT5/AO5-1</f>
        <v>5.8568822523510145E-2</v>
      </c>
      <c r="AU69" s="385">
        <f t="shared" ref="AU69" si="294">AU5/AP5-1</f>
        <v>6.7065804702842957E-2</v>
      </c>
      <c r="AV69" s="385">
        <f t="shared" ref="AV69" si="295">AV5/AQ5-1</f>
        <v>6.8345145771738336E-2</v>
      </c>
      <c r="AW69" s="385">
        <f t="shared" ref="AW69" si="296">AW5/AR5-1</f>
        <v>6.1659537310473134E-2</v>
      </c>
      <c r="AX69" s="181"/>
      <c r="AY69" s="181"/>
      <c r="AZ69" s="181"/>
      <c r="BA69" s="181"/>
      <c r="BB69" s="181"/>
      <c r="BC69" s="181"/>
      <c r="BD69" s="181"/>
      <c r="BE69" s="181"/>
      <c r="BF69" s="181"/>
      <c r="BG69" s="181"/>
      <c r="BH69" s="181"/>
      <c r="BI69" s="181"/>
      <c r="BJ69" s="181"/>
      <c r="BK69" s="181"/>
      <c r="BL69" s="181"/>
      <c r="BM69" s="181"/>
      <c r="BN69" s="181"/>
      <c r="BO69" s="181"/>
      <c r="BP69" s="181"/>
    </row>
    <row r="70" spans="2:68" s="42" customFormat="1">
      <c r="B70" s="181"/>
      <c r="C70" s="181"/>
      <c r="D70" s="182" t="s">
        <v>194</v>
      </c>
      <c r="E70" s="182"/>
      <c r="F70" s="182"/>
      <c r="G70" s="182"/>
      <c r="H70" s="182"/>
      <c r="I70" s="167"/>
      <c r="J70" s="361">
        <f t="shared" ref="J70:V70" si="297">J15/E15-1</f>
        <v>-8.588586475248805E-2</v>
      </c>
      <c r="K70" s="361">
        <f t="shared" si="297"/>
        <v>-0.3754718868629856</v>
      </c>
      <c r="L70" s="361">
        <f t="shared" si="297"/>
        <v>-9.1079909548585247E-2</v>
      </c>
      <c r="M70" s="361">
        <f t="shared" si="297"/>
        <v>-0.2578452588304978</v>
      </c>
      <c r="N70" s="377">
        <f t="shared" si="297"/>
        <v>-0.21010068583102293</v>
      </c>
      <c r="O70" s="361">
        <f t="shared" si="297"/>
        <v>-0.55585993635803743</v>
      </c>
      <c r="P70" s="361">
        <f t="shared" si="297"/>
        <v>-1.4272948000269792E-2</v>
      </c>
      <c r="Q70" s="361">
        <f t="shared" si="297"/>
        <v>-0.89491017964071862</v>
      </c>
      <c r="R70" s="361">
        <f t="shared" si="297"/>
        <v>0.10819438956934024</v>
      </c>
      <c r="S70" s="377">
        <f t="shared" si="297"/>
        <v>-0.36980480974214791</v>
      </c>
      <c r="T70" s="361">
        <f t="shared" si="297"/>
        <v>0.4291843013765908</v>
      </c>
      <c r="U70" s="361">
        <f t="shared" si="297"/>
        <v>0.24448568716163632</v>
      </c>
      <c r="V70" s="361">
        <f t="shared" si="297"/>
        <v>13.815696649029983</v>
      </c>
      <c r="W70" s="385">
        <f t="shared" ref="W70" si="298">W15/R15-1</f>
        <v>0.74064830792487224</v>
      </c>
      <c r="X70" s="385">
        <f t="shared" ref="X70" si="299">X15/S15-1</f>
        <v>1.0724139346184511</v>
      </c>
      <c r="Y70" s="385">
        <f t="shared" ref="Y70" si="300">Y15/T15-1</f>
        <v>1.0196869151489025</v>
      </c>
      <c r="Z70" s="385">
        <f t="shared" ref="Z70" si="301">Z15/U15-1</f>
        <v>0.44810488606005094</v>
      </c>
      <c r="AA70" s="385">
        <f t="shared" ref="AA70" si="302">AA15/V15-1</f>
        <v>3.9960574418201444E-2</v>
      </c>
      <c r="AB70" s="385">
        <f t="shared" ref="AB70:AC70" si="303">AB15/W15-1</f>
        <v>8.3215982001048072E-3</v>
      </c>
      <c r="AC70" s="385">
        <f t="shared" si="303"/>
        <v>0.25015233616137222</v>
      </c>
      <c r="AD70" s="385">
        <f t="shared" ref="AD70" si="304">AD15/Y15-1</f>
        <v>8.549130682756334E-2</v>
      </c>
      <c r="AE70" s="385">
        <f t="shared" ref="AE70" si="305">AE15/Z15-1</f>
        <v>0.10102983415580558</v>
      </c>
      <c r="AF70" s="385">
        <f t="shared" ref="AF70" si="306">AF15/AA15-1</f>
        <v>0.11516254858085806</v>
      </c>
      <c r="AG70" s="385">
        <f t="shared" ref="AG70" si="307">AG15/AB15-1</f>
        <v>0.11436692915419533</v>
      </c>
      <c r="AH70" s="385">
        <f t="shared" ref="AH70" si="308">AH15/AC15-1</f>
        <v>0.1048630460565998</v>
      </c>
      <c r="AI70" s="385">
        <f t="shared" ref="AI70" si="309">AI15/AD15-1</f>
        <v>8.1985807294989277E-2</v>
      </c>
      <c r="AJ70" s="385">
        <f t="shared" ref="AJ70" si="310">AJ15/AE15-1</f>
        <v>9.621967586845126E-2</v>
      </c>
      <c r="AK70" s="385">
        <f t="shared" ref="AK70" si="311">AK15/AF15-1</f>
        <v>0.10945989764525477</v>
      </c>
      <c r="AL70" s="385">
        <f t="shared" ref="AL70" si="312">AL15/AG15-1</f>
        <v>0.10894664379634644</v>
      </c>
      <c r="AM70" s="385">
        <f t="shared" ref="AM70" si="313">AM15/AH15-1</f>
        <v>0.10006721349424619</v>
      </c>
      <c r="AN70" s="385">
        <f t="shared" ref="AN70" si="314">AN15/AI15-1</f>
        <v>7.7337838958348115E-2</v>
      </c>
      <c r="AO70" s="385">
        <f t="shared" ref="AO70" si="315">AO15/AJ15-1</f>
        <v>9.0297894341234697E-2</v>
      </c>
      <c r="AP70" s="385">
        <f t="shared" ref="AP70" si="316">AP15/AK15-1</f>
        <v>0.10263134414982855</v>
      </c>
      <c r="AQ70" s="385">
        <f t="shared" ref="AQ70" si="317">AQ15/AL15-1</f>
        <v>0.1023840961858784</v>
      </c>
      <c r="AR70" s="385">
        <f t="shared" ref="AR70" si="318">AR15/AM15-1</f>
        <v>9.4115226953112252E-2</v>
      </c>
      <c r="AS70" s="385">
        <f t="shared" ref="AS70" si="319">AS15/AN15-1</f>
        <v>7.2122340395276208E-2</v>
      </c>
      <c r="AT70" s="385">
        <f t="shared" ref="AT70" si="320">AT15/AO15-1</f>
        <v>8.3877454736829504E-2</v>
      </c>
      <c r="AU70" s="385">
        <f t="shared" ref="AU70" si="321">AU15/AP15-1</f>
        <v>9.5309758674715139E-2</v>
      </c>
      <c r="AV70" s="385">
        <f t="shared" ref="AV70" si="322">AV15/AQ15-1</f>
        <v>9.5288935658264906E-2</v>
      </c>
      <c r="AW70" s="385">
        <f t="shared" ref="AW70" si="323">AW15/AR15-1</f>
        <v>8.7618325097615246E-2</v>
      </c>
      <c r="AX70" s="181"/>
      <c r="AY70" s="181"/>
      <c r="AZ70" s="181"/>
      <c r="BA70" s="181"/>
      <c r="BB70" s="181"/>
      <c r="BC70" s="181"/>
      <c r="BD70" s="181"/>
      <c r="BE70" s="181"/>
      <c r="BF70" s="181"/>
      <c r="BG70" s="181"/>
      <c r="BH70" s="181"/>
      <c r="BI70" s="181"/>
      <c r="BJ70" s="181"/>
      <c r="BK70" s="181"/>
      <c r="BL70" s="181"/>
      <c r="BM70" s="181"/>
      <c r="BN70" s="181"/>
      <c r="BO70" s="181"/>
      <c r="BP70" s="181"/>
    </row>
    <row r="71" spans="2:68" s="42" customFormat="1">
      <c r="B71" s="181"/>
      <c r="C71" s="181"/>
      <c r="D71" s="182" t="s">
        <v>136</v>
      </c>
      <c r="E71" s="182"/>
      <c r="F71" s="182"/>
      <c r="G71" s="182"/>
      <c r="H71" s="182"/>
      <c r="I71" s="167"/>
      <c r="J71" s="361">
        <f t="shared" ref="J71:W71" si="324">J20/E20-1</f>
        <v>-0.1234620706270001</v>
      </c>
      <c r="K71" s="361">
        <f t="shared" si="324"/>
        <v>-0.33807029881853778</v>
      </c>
      <c r="L71" s="361">
        <f t="shared" si="324"/>
        <v>-7.9408867492989033E-2</v>
      </c>
      <c r="M71" s="361">
        <f t="shared" si="324"/>
        <v>1.2939695924713002E-2</v>
      </c>
      <c r="N71" s="377">
        <f t="shared" si="324"/>
        <v>-0.13942180712586705</v>
      </c>
      <c r="O71" s="361">
        <f t="shared" si="324"/>
        <v>-0.52629137308307183</v>
      </c>
      <c r="P71" s="361">
        <f t="shared" si="324"/>
        <v>-9.5712537268314302E-3</v>
      </c>
      <c r="Q71" s="361">
        <f t="shared" si="324"/>
        <v>-1.0211166987742182</v>
      </c>
      <c r="R71" s="361">
        <f t="shared" si="324"/>
        <v>-0.10593519140302687</v>
      </c>
      <c r="S71" s="377">
        <f t="shared" si="324"/>
        <v>-0.41036251292505965</v>
      </c>
      <c r="T71" s="361">
        <f t="shared" si="324"/>
        <v>0.46041036196403784</v>
      </c>
      <c r="U71" s="361">
        <f t="shared" si="324"/>
        <v>0.2114739845564455</v>
      </c>
      <c r="V71" s="361">
        <f>(V20/Q20-1)*-1</f>
        <v>84.733808765009769</v>
      </c>
      <c r="W71" s="385">
        <f t="shared" si="324"/>
        <v>0.66410271955549804</v>
      </c>
      <c r="X71" s="385">
        <f t="shared" ref="X71" si="325">X20/S20-1</f>
        <v>1.1838858059391946</v>
      </c>
      <c r="Y71" s="385">
        <f t="shared" ref="Y71" si="326">Y20/T20-1</f>
        <v>1.0344500311122538</v>
      </c>
      <c r="Z71" s="385">
        <f t="shared" ref="Z71" si="327">Z20/U20-1</f>
        <v>0.46533960003110653</v>
      </c>
      <c r="AA71" s="385">
        <f t="shared" ref="AA71" si="328">AA20/V20-1</f>
        <v>-3.7581288826354919E-2</v>
      </c>
      <c r="AB71" s="385">
        <f t="shared" ref="AB71" si="329">AB20/W20-1</f>
        <v>8.3215982001048072E-3</v>
      </c>
      <c r="AC71" s="385">
        <f t="shared" ref="AC71" si="330">AC20/X20-1</f>
        <v>0.22701476494995032</v>
      </c>
      <c r="AD71" s="385">
        <f t="shared" ref="AD71" si="331">AD20/Y20-1</f>
        <v>8.549130682756334E-2</v>
      </c>
      <c r="AE71" s="385">
        <f t="shared" ref="AE71" si="332">AE20/Z20-1</f>
        <v>0.10102983415580558</v>
      </c>
      <c r="AF71" s="385">
        <f t="shared" ref="AF71" si="333">AF20/AA20-1</f>
        <v>0.11516254858085806</v>
      </c>
      <c r="AG71" s="385">
        <f t="shared" ref="AG71" si="334">AG20/AB20-1</f>
        <v>0.11436692915419555</v>
      </c>
      <c r="AH71" s="385">
        <f t="shared" ref="AH71" si="335">AH20/AC20-1</f>
        <v>0.1048630460565998</v>
      </c>
      <c r="AI71" s="385">
        <f t="shared" ref="AI71" si="336">AI20/AD20-1</f>
        <v>8.1985807294989055E-2</v>
      </c>
      <c r="AJ71" s="385">
        <f t="shared" ref="AJ71" si="337">AJ20/AE20-1</f>
        <v>9.6219675868451482E-2</v>
      </c>
      <c r="AK71" s="385">
        <f t="shared" ref="AK71" si="338">AK20/AF20-1</f>
        <v>0.10945989764525477</v>
      </c>
      <c r="AL71" s="385">
        <f t="shared" ref="AL71" si="339">AL20/AG20-1</f>
        <v>0.10894664379634644</v>
      </c>
      <c r="AM71" s="385">
        <f t="shared" ref="AM71" si="340">AM20/AH20-1</f>
        <v>0.10006721349424619</v>
      </c>
      <c r="AN71" s="385">
        <f t="shared" ref="AN71" si="341">AN20/AI20-1</f>
        <v>7.7337838958348115E-2</v>
      </c>
      <c r="AO71" s="385">
        <f t="shared" ref="AO71" si="342">AO20/AJ20-1</f>
        <v>9.0297894341234697E-2</v>
      </c>
      <c r="AP71" s="385">
        <f t="shared" ref="AP71" si="343">AP20/AK20-1</f>
        <v>0.10263134414982855</v>
      </c>
      <c r="AQ71" s="385">
        <f t="shared" ref="AQ71" si="344">AQ20/AL20-1</f>
        <v>0.1023840961858784</v>
      </c>
      <c r="AR71" s="385">
        <f t="shared" ref="AR71" si="345">AR20/AM20-1</f>
        <v>9.4115226953112252E-2</v>
      </c>
      <c r="AS71" s="385">
        <f t="shared" ref="AS71" si="346">AS20/AN20-1</f>
        <v>7.212234039527643E-2</v>
      </c>
      <c r="AT71" s="385">
        <f t="shared" ref="AT71" si="347">AT20/AO20-1</f>
        <v>8.3877454736829504E-2</v>
      </c>
      <c r="AU71" s="385">
        <f t="shared" ref="AU71" si="348">AU20/AP20-1</f>
        <v>9.5309758674714917E-2</v>
      </c>
      <c r="AV71" s="385">
        <f t="shared" ref="AV71" si="349">AV20/AQ20-1</f>
        <v>9.5288935658264906E-2</v>
      </c>
      <c r="AW71" s="385">
        <f t="shared" ref="AW71" si="350">AW20/AR20-1</f>
        <v>8.7618325097615468E-2</v>
      </c>
      <c r="AX71" s="181"/>
      <c r="AY71" s="181"/>
      <c r="AZ71" s="181"/>
      <c r="BA71" s="181"/>
      <c r="BB71" s="181"/>
      <c r="BC71" s="181"/>
      <c r="BD71" s="181"/>
      <c r="BE71" s="181"/>
      <c r="BF71" s="181"/>
      <c r="BG71" s="181"/>
      <c r="BH71" s="181"/>
      <c r="BI71" s="181"/>
      <c r="BJ71" s="181"/>
      <c r="BK71" s="181"/>
      <c r="BL71" s="181"/>
      <c r="BM71" s="181"/>
      <c r="BN71" s="181"/>
      <c r="BO71" s="181"/>
      <c r="BP71" s="181"/>
    </row>
    <row r="72" spans="2:68" s="42" customFormat="1">
      <c r="B72" s="181"/>
      <c r="C72" s="181"/>
      <c r="D72" s="182"/>
      <c r="E72" s="182"/>
      <c r="F72" s="182"/>
      <c r="G72" s="182"/>
      <c r="H72" s="182"/>
      <c r="I72" s="167"/>
      <c r="J72" s="182"/>
      <c r="K72" s="182"/>
      <c r="L72" s="182"/>
      <c r="M72" s="182"/>
      <c r="N72" s="167"/>
      <c r="O72" s="182"/>
      <c r="P72" s="182"/>
      <c r="Q72" s="182"/>
      <c r="R72" s="182"/>
      <c r="S72" s="167"/>
      <c r="T72" s="182"/>
      <c r="U72" s="182"/>
      <c r="V72" s="182"/>
      <c r="W72" s="183"/>
      <c r="X72" s="183"/>
      <c r="Y72" s="183"/>
      <c r="Z72" s="182"/>
      <c r="AA72" s="182"/>
      <c r="AB72" s="182"/>
      <c r="AC72" s="182"/>
      <c r="AD72" s="182"/>
      <c r="AE72" s="182"/>
      <c r="AF72" s="182"/>
      <c r="AG72" s="182"/>
      <c r="AH72" s="182"/>
      <c r="AI72" s="182"/>
      <c r="AJ72" s="182"/>
      <c r="AK72" s="182"/>
      <c r="AL72" s="182"/>
      <c r="AM72" s="182"/>
      <c r="AN72" s="182"/>
      <c r="AO72" s="182"/>
      <c r="AP72" s="182"/>
      <c r="AQ72" s="182"/>
      <c r="AR72" s="182"/>
      <c r="AS72" s="182"/>
      <c r="AT72" s="182"/>
      <c r="AU72" s="182"/>
      <c r="AV72" s="182"/>
      <c r="AW72" s="182"/>
      <c r="AX72" s="181"/>
      <c r="AY72" s="181"/>
      <c r="AZ72" s="181"/>
      <c r="BA72" s="181"/>
      <c r="BB72" s="181"/>
      <c r="BC72" s="181"/>
      <c r="BD72" s="181"/>
      <c r="BE72" s="181"/>
      <c r="BF72" s="181"/>
      <c r="BG72" s="181"/>
      <c r="BH72" s="181"/>
      <c r="BI72" s="181"/>
      <c r="BJ72" s="181"/>
      <c r="BK72" s="181"/>
      <c r="BL72" s="181"/>
      <c r="BM72" s="181"/>
      <c r="BN72" s="181"/>
      <c r="BO72" s="181"/>
      <c r="BP72" s="181"/>
    </row>
    <row r="73" spans="2:68" s="42" customFormat="1">
      <c r="B73" s="181"/>
      <c r="C73" s="181"/>
      <c r="D73" s="182" t="s">
        <v>147</v>
      </c>
      <c r="E73" s="319">
        <f>E10/E5</f>
        <v>3.0746098179458833E-2</v>
      </c>
      <c r="F73" s="319">
        <f t="shared" ref="F73:X73" si="351">F10/F5</f>
        <v>3.1504596367917179E-2</v>
      </c>
      <c r="G73" s="319">
        <f t="shared" si="351"/>
        <v>3.133789802492664E-2</v>
      </c>
      <c r="H73" s="319">
        <f t="shared" si="351"/>
        <v>3.0746098179458833E-2</v>
      </c>
      <c r="I73" s="371">
        <f t="shared" si="351"/>
        <v>3.10731237994267E-2</v>
      </c>
      <c r="J73" s="319">
        <f t="shared" si="351"/>
        <v>3.6059715034612541E-2</v>
      </c>
      <c r="K73" s="319">
        <f t="shared" si="351"/>
        <v>3.761690100764465E-2</v>
      </c>
      <c r="L73" s="319">
        <f t="shared" si="351"/>
        <v>3.4320748510075258E-2</v>
      </c>
      <c r="M73" s="319">
        <f t="shared" si="351"/>
        <v>3.5577510391935623E-2</v>
      </c>
      <c r="N73" s="371">
        <f t="shared" si="351"/>
        <v>3.5832938955036892E-2</v>
      </c>
      <c r="O73" s="319">
        <f t="shared" si="351"/>
        <v>4.9905953853813245E-2</v>
      </c>
      <c r="P73" s="319">
        <f t="shared" si="351"/>
        <v>4.0761208498551853E-2</v>
      </c>
      <c r="Q73" s="319">
        <f t="shared" si="351"/>
        <v>4.059948156993605E-2</v>
      </c>
      <c r="R73" s="319">
        <f t="shared" si="351"/>
        <v>3.7866073240567989E-2</v>
      </c>
      <c r="S73" s="371">
        <f t="shared" si="351"/>
        <v>4.2196210959181274E-2</v>
      </c>
      <c r="T73" s="319">
        <f t="shared" si="351"/>
        <v>3.9140844919069141E-2</v>
      </c>
      <c r="U73" s="319">
        <f t="shared" si="351"/>
        <v>4.1744281883376783E-2</v>
      </c>
      <c r="V73" s="319">
        <f t="shared" si="351"/>
        <v>4.3720994765900849E-2</v>
      </c>
      <c r="W73" s="384">
        <f>AVERAGE(R73,T73:V73)</f>
        <v>4.0618048702228689E-2</v>
      </c>
      <c r="X73" s="384">
        <f t="shared" si="351"/>
        <v>4.1329166063446166E-2</v>
      </c>
      <c r="Y73" s="386">
        <f>T73</f>
        <v>3.9140844919069141E-2</v>
      </c>
      <c r="Z73" s="386">
        <f t="shared" ref="Z73:AB73" si="352">U73</f>
        <v>4.1744281883376783E-2</v>
      </c>
      <c r="AA73" s="386">
        <f t="shared" si="352"/>
        <v>4.3720994765900849E-2</v>
      </c>
      <c r="AB73" s="386">
        <f t="shared" si="352"/>
        <v>4.0618048702228689E-2</v>
      </c>
      <c r="AC73" s="384">
        <f t="shared" ref="AC73" si="353">AC10/AC5</f>
        <v>4.133671872914229E-2</v>
      </c>
      <c r="AD73" s="386">
        <f>Y73</f>
        <v>3.9140844919069141E-2</v>
      </c>
      <c r="AE73" s="386">
        <f t="shared" ref="AE73" si="354">Z73</f>
        <v>4.1744281883376783E-2</v>
      </c>
      <c r="AF73" s="386">
        <f t="shared" ref="AF73" si="355">AA73</f>
        <v>4.3720994765900849E-2</v>
      </c>
      <c r="AG73" s="386">
        <f t="shared" ref="AG73" si="356">AB73</f>
        <v>4.0618048702228689E-2</v>
      </c>
      <c r="AH73" s="384">
        <f t="shared" ref="AH73" si="357">AH10/AH5</f>
        <v>4.1344238574985599E-2</v>
      </c>
      <c r="AI73" s="386">
        <f>AD73</f>
        <v>3.9140844919069141E-2</v>
      </c>
      <c r="AJ73" s="386">
        <f t="shared" ref="AJ73" si="358">AE73</f>
        <v>4.1744281883376783E-2</v>
      </c>
      <c r="AK73" s="386">
        <f t="shared" ref="AK73" si="359">AF73</f>
        <v>4.3720994765900849E-2</v>
      </c>
      <c r="AL73" s="386">
        <f t="shared" ref="AL73" si="360">AG73</f>
        <v>4.0618048702228689E-2</v>
      </c>
      <c r="AM73" s="384">
        <f t="shared" ref="AM73" si="361">AM10/AM5</f>
        <v>4.1351573777946141E-2</v>
      </c>
      <c r="AN73" s="386">
        <f>AI73</f>
        <v>3.9140844919069141E-2</v>
      </c>
      <c r="AO73" s="386">
        <f t="shared" ref="AO73" si="362">AJ73</f>
        <v>4.1744281883376783E-2</v>
      </c>
      <c r="AP73" s="386">
        <f t="shared" ref="AP73" si="363">AK73</f>
        <v>4.3720994765900849E-2</v>
      </c>
      <c r="AQ73" s="386">
        <f t="shared" ref="AQ73" si="364">AL73</f>
        <v>4.0618048702228689E-2</v>
      </c>
      <c r="AR73" s="384">
        <f t="shared" ref="AR73" si="365">AR10/AR5</f>
        <v>4.1358654726289253E-2</v>
      </c>
      <c r="AS73" s="386">
        <f>AN73</f>
        <v>3.9140844919069141E-2</v>
      </c>
      <c r="AT73" s="386">
        <f t="shared" ref="AT73" si="366">AO73</f>
        <v>4.1744281883376783E-2</v>
      </c>
      <c r="AU73" s="386">
        <f t="shared" ref="AU73" si="367">AP73</f>
        <v>4.3720994765900849E-2</v>
      </c>
      <c r="AV73" s="386">
        <f t="shared" ref="AV73" si="368">AQ73</f>
        <v>4.0618048702228689E-2</v>
      </c>
      <c r="AW73" s="384">
        <f t="shared" ref="AW73" si="369">AW10/AW5</f>
        <v>4.1365423085262268E-2</v>
      </c>
      <c r="AX73" s="181"/>
      <c r="AY73" s="181"/>
      <c r="AZ73" s="181"/>
      <c r="BA73" s="181"/>
      <c r="BB73" s="181"/>
      <c r="BC73" s="181"/>
      <c r="BD73" s="181"/>
      <c r="BE73" s="181"/>
      <c r="BF73" s="181"/>
      <c r="BG73" s="181"/>
      <c r="BH73" s="181"/>
      <c r="BI73" s="181"/>
      <c r="BJ73" s="181"/>
      <c r="BK73" s="181"/>
      <c r="BL73" s="181"/>
      <c r="BM73" s="181"/>
      <c r="BN73" s="181"/>
      <c r="BO73" s="181"/>
      <c r="BP73" s="181"/>
    </row>
    <row r="74" spans="2:68" s="42" customFormat="1">
      <c r="B74" s="181"/>
      <c r="C74" s="181"/>
      <c r="D74" s="182" t="s">
        <v>139</v>
      </c>
      <c r="E74" s="319">
        <f>E54/E5</f>
        <v>1.145186926677005E-3</v>
      </c>
      <c r="F74" s="319">
        <f t="shared" ref="F74:V74" si="370">F54/F5</f>
        <v>1.0464047618868404E-3</v>
      </c>
      <c r="G74" s="319">
        <f t="shared" si="370"/>
        <v>1.2609295495439471E-3</v>
      </c>
      <c r="H74" s="319">
        <f t="shared" si="370"/>
        <v>1.145186926677005E-3</v>
      </c>
      <c r="I74" s="371">
        <f t="shared" si="370"/>
        <v>1.1488400473598499E-3</v>
      </c>
      <c r="J74" s="319">
        <f t="shared" si="370"/>
        <v>1.4797701458431347E-3</v>
      </c>
      <c r="K74" s="319">
        <f t="shared" si="370"/>
        <v>1.3781276004949834E-3</v>
      </c>
      <c r="L74" s="319">
        <f t="shared" si="370"/>
        <v>2.5530485397423554E-3</v>
      </c>
      <c r="M74" s="319">
        <f t="shared" si="370"/>
        <v>2.8564977672475523E-3</v>
      </c>
      <c r="N74" s="371">
        <f t="shared" si="370"/>
        <v>2.1109216044516523E-3</v>
      </c>
      <c r="O74" s="319">
        <f t="shared" si="370"/>
        <v>3.9579413300332008E-3</v>
      </c>
      <c r="P74" s="319">
        <f t="shared" si="370"/>
        <v>3.6751211923877788E-3</v>
      </c>
      <c r="Q74" s="319">
        <f t="shared" si="370"/>
        <v>3.6591343133298105E-3</v>
      </c>
      <c r="R74" s="319">
        <f t="shared" si="370"/>
        <v>3.0636145647775248E-3</v>
      </c>
      <c r="S74" s="371">
        <f t="shared" si="370"/>
        <v>3.5824622308426334E-3</v>
      </c>
      <c r="T74" s="319">
        <f t="shared" si="370"/>
        <v>3.2541892270609766E-3</v>
      </c>
      <c r="U74" s="319">
        <f t="shared" si="370"/>
        <v>3.3122668214754592E-3</v>
      </c>
      <c r="V74" s="319">
        <f t="shared" si="370"/>
        <v>2.6116272913138195E-3</v>
      </c>
      <c r="W74" s="336">
        <f>AVERAGE(U74:V74)</f>
        <v>2.9619470563946393E-3</v>
      </c>
      <c r="X74" s="386">
        <f>W74</f>
        <v>2.9619470563946393E-3</v>
      </c>
      <c r="Y74" s="386">
        <f t="shared" ref="Y74:AW74" si="371">X74</f>
        <v>2.9619470563946393E-3</v>
      </c>
      <c r="Z74" s="386">
        <f t="shared" si="371"/>
        <v>2.9619470563946393E-3</v>
      </c>
      <c r="AA74" s="386">
        <f t="shared" si="371"/>
        <v>2.9619470563946393E-3</v>
      </c>
      <c r="AB74" s="386">
        <f t="shared" si="371"/>
        <v>2.9619470563946393E-3</v>
      </c>
      <c r="AC74" s="386">
        <f t="shared" si="371"/>
        <v>2.9619470563946393E-3</v>
      </c>
      <c r="AD74" s="386">
        <f t="shared" si="371"/>
        <v>2.9619470563946393E-3</v>
      </c>
      <c r="AE74" s="386">
        <f t="shared" si="371"/>
        <v>2.9619470563946393E-3</v>
      </c>
      <c r="AF74" s="386">
        <f t="shared" si="371"/>
        <v>2.9619470563946393E-3</v>
      </c>
      <c r="AG74" s="386">
        <f t="shared" si="371"/>
        <v>2.9619470563946393E-3</v>
      </c>
      <c r="AH74" s="386">
        <f t="shared" si="371"/>
        <v>2.9619470563946393E-3</v>
      </c>
      <c r="AI74" s="386">
        <f t="shared" si="371"/>
        <v>2.9619470563946393E-3</v>
      </c>
      <c r="AJ74" s="386">
        <f t="shared" si="371"/>
        <v>2.9619470563946393E-3</v>
      </c>
      <c r="AK74" s="386">
        <f t="shared" si="371"/>
        <v>2.9619470563946393E-3</v>
      </c>
      <c r="AL74" s="386">
        <f t="shared" si="371"/>
        <v>2.9619470563946393E-3</v>
      </c>
      <c r="AM74" s="386">
        <f t="shared" si="371"/>
        <v>2.9619470563946393E-3</v>
      </c>
      <c r="AN74" s="386">
        <f t="shared" si="371"/>
        <v>2.9619470563946393E-3</v>
      </c>
      <c r="AO74" s="386">
        <f t="shared" si="371"/>
        <v>2.9619470563946393E-3</v>
      </c>
      <c r="AP74" s="386">
        <f t="shared" si="371"/>
        <v>2.9619470563946393E-3</v>
      </c>
      <c r="AQ74" s="386">
        <f t="shared" si="371"/>
        <v>2.9619470563946393E-3</v>
      </c>
      <c r="AR74" s="386">
        <f t="shared" si="371"/>
        <v>2.9619470563946393E-3</v>
      </c>
      <c r="AS74" s="386">
        <f t="shared" si="371"/>
        <v>2.9619470563946393E-3</v>
      </c>
      <c r="AT74" s="386">
        <f t="shared" si="371"/>
        <v>2.9619470563946393E-3</v>
      </c>
      <c r="AU74" s="386">
        <f>AT74</f>
        <v>2.9619470563946393E-3</v>
      </c>
      <c r="AV74" s="386">
        <f t="shared" si="371"/>
        <v>2.9619470563946393E-3</v>
      </c>
      <c r="AW74" s="386">
        <f t="shared" si="371"/>
        <v>2.9619470563946393E-3</v>
      </c>
      <c r="AX74" s="181"/>
      <c r="AY74" s="181"/>
      <c r="AZ74" s="181"/>
      <c r="BA74" s="181"/>
      <c r="BB74" s="181"/>
      <c r="BC74" s="181"/>
      <c r="BD74" s="181"/>
      <c r="BE74" s="181"/>
      <c r="BF74" s="181"/>
      <c r="BG74" s="181"/>
      <c r="BH74" s="181"/>
      <c r="BI74" s="181"/>
      <c r="BJ74" s="181"/>
      <c r="BK74" s="181"/>
      <c r="BL74" s="181"/>
      <c r="BM74" s="181"/>
      <c r="BN74" s="181"/>
      <c r="BO74" s="181"/>
      <c r="BP74" s="181"/>
    </row>
    <row r="75" spans="2:68">
      <c r="B75" s="143"/>
      <c r="C75" s="143"/>
      <c r="D75" s="143"/>
      <c r="E75" s="154"/>
      <c r="F75" s="154"/>
      <c r="G75" s="154"/>
      <c r="H75" s="154"/>
      <c r="I75" s="165"/>
      <c r="J75" s="154"/>
      <c r="K75" s="154"/>
      <c r="L75" s="154"/>
      <c r="M75" s="154"/>
      <c r="O75" s="154"/>
      <c r="P75" s="154"/>
      <c r="Q75" s="154"/>
      <c r="R75" s="154"/>
      <c r="S75" s="165"/>
      <c r="T75" s="154"/>
      <c r="U75" s="154"/>
      <c r="V75" s="154"/>
      <c r="W75" s="154"/>
      <c r="X75" s="154"/>
      <c r="Y75" s="154"/>
      <c r="Z75" s="154"/>
      <c r="AA75" s="154"/>
      <c r="AB75" s="154"/>
      <c r="AC75" s="154"/>
      <c r="AD75" s="154"/>
      <c r="AE75" s="154"/>
      <c r="AF75" s="154"/>
      <c r="AG75" s="154"/>
      <c r="AH75" s="154"/>
      <c r="AI75" s="154"/>
      <c r="AJ75" s="154"/>
      <c r="AK75" s="154"/>
      <c r="AL75" s="154"/>
      <c r="AM75" s="154"/>
      <c r="AN75" s="154"/>
      <c r="AO75" s="154"/>
      <c r="AP75" s="154"/>
      <c r="AQ75" s="154"/>
      <c r="AR75" s="154"/>
      <c r="AS75" s="154"/>
      <c r="AT75" s="154"/>
      <c r="AU75" s="154"/>
      <c r="AV75" s="154"/>
      <c r="AW75" s="154"/>
      <c r="AX75" s="143"/>
      <c r="AY75" s="143"/>
      <c r="AZ75" s="143"/>
      <c r="BA75" s="143"/>
      <c r="BB75" s="143"/>
      <c r="BC75" s="143"/>
      <c r="BD75" s="143"/>
      <c r="BE75" s="143"/>
      <c r="BF75" s="143"/>
      <c r="BG75" s="143"/>
      <c r="BH75" s="143"/>
      <c r="BI75" s="143"/>
      <c r="BJ75" s="143"/>
      <c r="BK75" s="143"/>
      <c r="BL75" s="143"/>
      <c r="BM75" s="143"/>
      <c r="BN75" s="143"/>
      <c r="BO75" s="143"/>
      <c r="BP75" s="143"/>
    </row>
    <row r="76" spans="2:68">
      <c r="B76" s="143"/>
      <c r="C76" s="143"/>
      <c r="D76" s="144" t="s">
        <v>46</v>
      </c>
      <c r="E76" s="145"/>
      <c r="F76" s="145"/>
      <c r="G76" s="145"/>
      <c r="H76" s="145"/>
      <c r="I76" s="145"/>
      <c r="J76" s="145"/>
      <c r="K76" s="145"/>
      <c r="L76" s="145"/>
      <c r="M76" s="145"/>
      <c r="N76" s="145"/>
      <c r="O76" s="145"/>
      <c r="P76" s="145"/>
      <c r="Q76" s="145"/>
      <c r="R76" s="145"/>
      <c r="S76" s="145"/>
      <c r="T76" s="145"/>
      <c r="U76" s="145"/>
      <c r="V76" s="145"/>
      <c r="W76" s="145"/>
      <c r="X76" s="145"/>
      <c r="Y76" s="145"/>
      <c r="Z76" s="145"/>
      <c r="AA76" s="145"/>
      <c r="AB76" s="145"/>
      <c r="AC76" s="145"/>
      <c r="AD76" s="145"/>
      <c r="AE76" s="145"/>
      <c r="AF76" s="145"/>
      <c r="AG76" s="145"/>
      <c r="AH76" s="145"/>
      <c r="AI76" s="145"/>
      <c r="AJ76" s="145"/>
      <c r="AK76" s="145"/>
      <c r="AL76" s="145"/>
      <c r="AM76" s="145"/>
      <c r="AN76" s="145"/>
      <c r="AO76" s="145"/>
      <c r="AP76" s="145"/>
      <c r="AQ76" s="145"/>
      <c r="AR76" s="145"/>
      <c r="AS76" s="145"/>
      <c r="AT76" s="145"/>
      <c r="AU76" s="145"/>
      <c r="AV76" s="145"/>
      <c r="AW76" s="145"/>
      <c r="AX76" s="143"/>
      <c r="AY76" s="143"/>
      <c r="AZ76" s="143"/>
      <c r="BA76" s="143"/>
      <c r="BB76" s="143"/>
      <c r="BC76" s="143"/>
      <c r="BD76" s="143"/>
      <c r="BE76" s="143"/>
      <c r="BF76" s="143"/>
      <c r="BG76" s="143"/>
      <c r="BH76" s="143"/>
      <c r="BI76" s="143"/>
      <c r="BJ76" s="143"/>
      <c r="BK76" s="143"/>
      <c r="BL76" s="143"/>
      <c r="BM76" s="143"/>
      <c r="BN76" s="143"/>
      <c r="BO76" s="143"/>
      <c r="BP76" s="143"/>
    </row>
    <row r="77" spans="2:68" s="71" customFormat="1" outlineLevel="1">
      <c r="B77" s="146"/>
      <c r="C77" s="146"/>
      <c r="D77" s="146" t="s">
        <v>75</v>
      </c>
      <c r="E77" s="310">
        <v>7025054</v>
      </c>
      <c r="F77" s="310">
        <v>6642745</v>
      </c>
      <c r="G77" s="310">
        <v>6528517</v>
      </c>
      <c r="H77" s="310">
        <v>7025054</v>
      </c>
      <c r="I77" s="313">
        <f>SUM(E77:H77)</f>
        <v>27221370</v>
      </c>
      <c r="J77" s="310">
        <v>5951600</v>
      </c>
      <c r="K77" s="310">
        <v>5566248</v>
      </c>
      <c r="L77" s="310">
        <v>6316762</v>
      </c>
      <c r="M77" s="310">
        <v>6763177</v>
      </c>
      <c r="N77" s="313">
        <f>SUM(J77:M77)</f>
        <v>24597787</v>
      </c>
      <c r="O77" s="310">
        <v>5772698</v>
      </c>
      <c r="P77" s="310">
        <v>5876813</v>
      </c>
      <c r="Q77" s="310">
        <v>6008525</v>
      </c>
      <c r="R77" s="310">
        <v>6114999</v>
      </c>
      <c r="S77" s="313">
        <f>SUM(O77:R77)</f>
        <v>23773035</v>
      </c>
      <c r="T77" s="310">
        <v>5862597</v>
      </c>
      <c r="U77" s="310">
        <v>6008272</v>
      </c>
      <c r="V77" s="310">
        <v>6270420</v>
      </c>
      <c r="W77" s="149"/>
      <c r="X77" s="149"/>
      <c r="Y77" s="149"/>
      <c r="Z77" s="149"/>
      <c r="AA77" s="149"/>
      <c r="AB77" s="149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6"/>
      <c r="AY77" s="146"/>
      <c r="AZ77" s="146"/>
      <c r="BA77" s="146"/>
      <c r="BB77" s="146"/>
      <c r="BC77" s="146"/>
      <c r="BD77" s="146"/>
      <c r="BE77" s="146"/>
      <c r="BF77" s="146"/>
      <c r="BG77" s="146"/>
      <c r="BH77" s="146"/>
      <c r="BI77" s="146"/>
      <c r="BJ77" s="146"/>
      <c r="BK77" s="146"/>
      <c r="BL77" s="146"/>
      <c r="BM77" s="146"/>
      <c r="BN77" s="146"/>
      <c r="BO77" s="146"/>
      <c r="BP77" s="146"/>
    </row>
    <row r="78" spans="2:68" outlineLevel="1">
      <c r="B78" s="143"/>
      <c r="C78" s="143"/>
      <c r="D78" s="143" t="s">
        <v>76</v>
      </c>
      <c r="E78" s="312">
        <v>6616397</v>
      </c>
      <c r="F78" s="312">
        <v>6261960</v>
      </c>
      <c r="G78" s="312">
        <v>6151436</v>
      </c>
      <c r="H78" s="312">
        <v>6616397</v>
      </c>
      <c r="I78" s="313">
        <f>SUM(E78:H78)</f>
        <v>25646190</v>
      </c>
      <c r="J78" s="312">
        <v>5572783</v>
      </c>
      <c r="K78" s="312">
        <v>5213907</v>
      </c>
      <c r="L78" s="312">
        <v>5919846</v>
      </c>
      <c r="M78" s="312">
        <v>6310710</v>
      </c>
      <c r="N78" s="313">
        <f>SUM(J78:M78)</f>
        <v>23017246</v>
      </c>
      <c r="O78" s="312">
        <v>5366361</v>
      </c>
      <c r="P78" s="312">
        <v>5470818</v>
      </c>
      <c r="Q78" s="312">
        <v>5694834</v>
      </c>
      <c r="R78" s="312">
        <v>5698544</v>
      </c>
      <c r="S78" s="313">
        <f>SUM(O78:R78)</f>
        <v>22230557</v>
      </c>
      <c r="T78" s="312">
        <v>5460827</v>
      </c>
      <c r="U78" s="312">
        <v>5601340</v>
      </c>
      <c r="V78" s="312">
        <v>5877095</v>
      </c>
      <c r="W78" s="156"/>
      <c r="X78" s="156"/>
      <c r="Y78" s="156"/>
      <c r="Z78" s="156"/>
      <c r="AA78" s="156"/>
      <c r="AB78" s="156"/>
      <c r="AC78" s="156"/>
      <c r="AD78" s="156"/>
      <c r="AE78" s="156"/>
      <c r="AF78" s="156"/>
      <c r="AG78" s="156"/>
      <c r="AH78" s="156"/>
      <c r="AI78" s="156"/>
      <c r="AJ78" s="156"/>
      <c r="AK78" s="156"/>
      <c r="AL78" s="156"/>
      <c r="AM78" s="156"/>
      <c r="AN78" s="156"/>
      <c r="AO78" s="156"/>
      <c r="AP78" s="156"/>
      <c r="AQ78" s="156"/>
      <c r="AR78" s="156"/>
      <c r="AS78" s="156"/>
      <c r="AT78" s="156"/>
      <c r="AU78" s="156"/>
      <c r="AV78" s="156"/>
      <c r="AW78" s="156"/>
      <c r="AX78" s="143"/>
      <c r="AY78" s="143"/>
      <c r="AZ78" s="143"/>
      <c r="BA78" s="143"/>
      <c r="BB78" s="143"/>
      <c r="BC78" s="143"/>
      <c r="BD78" s="143"/>
      <c r="BE78" s="143"/>
      <c r="BF78" s="143"/>
      <c r="BG78" s="143"/>
      <c r="BH78" s="143"/>
      <c r="BI78" s="143"/>
      <c r="BJ78" s="143"/>
      <c r="BK78" s="143"/>
      <c r="BL78" s="143"/>
      <c r="BM78" s="143"/>
      <c r="BN78" s="143"/>
      <c r="BO78" s="143"/>
      <c r="BP78" s="143"/>
    </row>
    <row r="79" spans="2:68" outlineLevel="1">
      <c r="B79" s="143"/>
      <c r="C79" s="143"/>
      <c r="D79" s="143" t="s">
        <v>89</v>
      </c>
      <c r="E79" s="151" t="s">
        <v>74</v>
      </c>
      <c r="F79" s="151" t="s">
        <v>74</v>
      </c>
      <c r="G79" s="151" t="s">
        <v>74</v>
      </c>
      <c r="H79" s="151" t="s">
        <v>74</v>
      </c>
      <c r="I79" s="148" t="s">
        <v>74</v>
      </c>
      <c r="J79" s="151" t="s">
        <v>74</v>
      </c>
      <c r="K79" s="151" t="s">
        <v>74</v>
      </c>
      <c r="L79" s="151" t="s">
        <v>74</v>
      </c>
      <c r="M79" s="151" t="s">
        <v>74</v>
      </c>
      <c r="N79" s="148" t="s">
        <v>74</v>
      </c>
      <c r="O79" s="151" t="s">
        <v>74</v>
      </c>
      <c r="P79" s="151" t="s">
        <v>74</v>
      </c>
      <c r="Q79" s="151" t="s">
        <v>74</v>
      </c>
      <c r="R79" s="151" t="s">
        <v>74</v>
      </c>
      <c r="S79" s="148" t="s">
        <v>74</v>
      </c>
      <c r="T79" s="151">
        <v>16966</v>
      </c>
      <c r="U79" s="151" t="s">
        <v>74</v>
      </c>
      <c r="V79" s="151" t="s">
        <v>74</v>
      </c>
      <c r="W79" s="156"/>
      <c r="X79" s="156"/>
      <c r="Y79" s="156"/>
      <c r="Z79" s="156"/>
      <c r="AA79" s="156"/>
      <c r="AB79" s="156"/>
      <c r="AC79" s="156"/>
      <c r="AD79" s="156"/>
      <c r="AE79" s="156"/>
      <c r="AF79" s="156"/>
      <c r="AG79" s="156"/>
      <c r="AH79" s="156"/>
      <c r="AI79" s="156"/>
      <c r="AJ79" s="156"/>
      <c r="AK79" s="156"/>
      <c r="AL79" s="156"/>
      <c r="AM79" s="156"/>
      <c r="AN79" s="156"/>
      <c r="AO79" s="156"/>
      <c r="AP79" s="156"/>
      <c r="AQ79" s="156"/>
      <c r="AR79" s="156"/>
      <c r="AS79" s="156"/>
      <c r="AT79" s="156"/>
      <c r="AU79" s="156"/>
      <c r="AV79" s="156"/>
      <c r="AW79" s="156"/>
      <c r="AX79" s="143"/>
      <c r="AY79" s="143"/>
      <c r="AZ79" s="143"/>
      <c r="BA79" s="143"/>
      <c r="BB79" s="143"/>
      <c r="BC79" s="143"/>
      <c r="BD79" s="143"/>
      <c r="BE79" s="143"/>
      <c r="BF79" s="143"/>
      <c r="BG79" s="143"/>
      <c r="BH79" s="143"/>
      <c r="BI79" s="143"/>
      <c r="BJ79" s="143"/>
      <c r="BK79" s="143"/>
      <c r="BL79" s="143"/>
      <c r="BM79" s="143"/>
      <c r="BN79" s="143"/>
      <c r="BO79" s="143"/>
      <c r="BP79" s="143"/>
    </row>
    <row r="80" spans="2:68" s="71" customFormat="1" outlineLevel="1">
      <c r="B80" s="146"/>
      <c r="C80" s="146"/>
      <c r="D80" s="146" t="s">
        <v>77</v>
      </c>
      <c r="E80" s="315">
        <f>E77-E78</f>
        <v>408657</v>
      </c>
      <c r="F80" s="315">
        <f>F77-F78</f>
        <v>380785</v>
      </c>
      <c r="G80" s="315">
        <f>G77-G78</f>
        <v>377081</v>
      </c>
      <c r="H80" s="315">
        <f>H77-H78</f>
        <v>408657</v>
      </c>
      <c r="I80" s="313">
        <f>SUM(E80:H80)</f>
        <v>1575180</v>
      </c>
      <c r="J80" s="315">
        <f>J77-J78</f>
        <v>378817</v>
      </c>
      <c r="K80" s="315">
        <f>K77-K78</f>
        <v>352341</v>
      </c>
      <c r="L80" s="315">
        <f>L77-L78</f>
        <v>396916</v>
      </c>
      <c r="M80" s="315">
        <f>M77-M78</f>
        <v>452467</v>
      </c>
      <c r="N80" s="313">
        <f>SUM(J80:M80)</f>
        <v>1580541</v>
      </c>
      <c r="O80" s="315">
        <f>O77-O78</f>
        <v>406337</v>
      </c>
      <c r="P80" s="315">
        <f>P77-P78</f>
        <v>405995</v>
      </c>
      <c r="Q80" s="315">
        <f>Q77-Q78</f>
        <v>313691</v>
      </c>
      <c r="R80" s="315">
        <f>R77-R78</f>
        <v>416455</v>
      </c>
      <c r="S80" s="313">
        <f>SUM(O80:R80)</f>
        <v>1542478</v>
      </c>
      <c r="T80" s="315">
        <f>T77-T78-T79</f>
        <v>384804</v>
      </c>
      <c r="U80" s="315">
        <f>U77-U78</f>
        <v>406932</v>
      </c>
      <c r="V80" s="315">
        <f>V77-V78</f>
        <v>393325</v>
      </c>
      <c r="W80" s="149"/>
      <c r="X80" s="149"/>
      <c r="Y80" s="149"/>
      <c r="Z80" s="149"/>
      <c r="AA80" s="149"/>
      <c r="AB80" s="149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6"/>
      <c r="AY80" s="146"/>
      <c r="AZ80" s="146"/>
      <c r="BA80" s="146"/>
      <c r="BB80" s="146"/>
      <c r="BC80" s="146"/>
      <c r="BD80" s="146"/>
      <c r="BE80" s="146"/>
      <c r="BF80" s="146"/>
      <c r="BG80" s="146"/>
      <c r="BH80" s="146"/>
      <c r="BI80" s="146"/>
      <c r="BJ80" s="146"/>
      <c r="BK80" s="146"/>
      <c r="BL80" s="146"/>
      <c r="BM80" s="146"/>
      <c r="BN80" s="146"/>
      <c r="BO80" s="146"/>
      <c r="BP80" s="146"/>
    </row>
    <row r="81" spans="2:68" outlineLevel="1">
      <c r="B81" s="143"/>
      <c r="C81" s="143"/>
      <c r="D81" s="143"/>
      <c r="E81" s="151"/>
      <c r="F81" s="151"/>
      <c r="G81" s="151"/>
      <c r="H81" s="151"/>
      <c r="I81" s="148"/>
      <c r="J81" s="151"/>
      <c r="K81" s="151"/>
      <c r="L81" s="151"/>
      <c r="M81" s="151"/>
      <c r="N81" s="148"/>
      <c r="O81" s="151"/>
      <c r="P81" s="151"/>
      <c r="Q81" s="151"/>
      <c r="R81" s="151"/>
      <c r="S81" s="148"/>
      <c r="T81" s="151"/>
      <c r="U81" s="151"/>
      <c r="V81" s="151"/>
      <c r="W81" s="156"/>
      <c r="X81" s="156"/>
      <c r="Y81" s="156"/>
      <c r="Z81" s="156"/>
      <c r="AA81" s="156"/>
      <c r="AB81" s="156"/>
      <c r="AC81" s="156"/>
      <c r="AD81" s="156"/>
      <c r="AE81" s="156"/>
      <c r="AF81" s="156"/>
      <c r="AG81" s="156"/>
      <c r="AH81" s="156"/>
      <c r="AI81" s="156"/>
      <c r="AJ81" s="156"/>
      <c r="AK81" s="156"/>
      <c r="AL81" s="156"/>
      <c r="AM81" s="156"/>
      <c r="AN81" s="156"/>
      <c r="AO81" s="156"/>
      <c r="AP81" s="156"/>
      <c r="AQ81" s="156"/>
      <c r="AR81" s="156"/>
      <c r="AS81" s="156"/>
      <c r="AT81" s="156"/>
      <c r="AU81" s="156"/>
      <c r="AV81" s="156"/>
      <c r="AW81" s="156"/>
      <c r="AX81" s="143"/>
      <c r="AY81" s="143"/>
      <c r="AZ81" s="143"/>
      <c r="BA81" s="143"/>
      <c r="BB81" s="143"/>
      <c r="BC81" s="143"/>
      <c r="BD81" s="143"/>
      <c r="BE81" s="143"/>
      <c r="BF81" s="143"/>
      <c r="BG81" s="143"/>
      <c r="BH81" s="143"/>
      <c r="BI81" s="143"/>
      <c r="BJ81" s="143"/>
      <c r="BK81" s="143"/>
      <c r="BL81" s="143"/>
      <c r="BM81" s="143"/>
      <c r="BN81" s="143"/>
      <c r="BO81" s="143"/>
      <c r="BP81" s="143"/>
    </row>
    <row r="82" spans="2:68" outlineLevel="1">
      <c r="B82" s="143"/>
      <c r="C82" s="143"/>
      <c r="D82" s="143" t="s">
        <v>78</v>
      </c>
      <c r="E82" s="312">
        <v>215993</v>
      </c>
      <c r="F82" s="312">
        <v>209277</v>
      </c>
      <c r="G82" s="312">
        <v>204590</v>
      </c>
      <c r="H82" s="312">
        <v>215993</v>
      </c>
      <c r="I82" s="313">
        <f>SUM(E82:H82)</f>
        <v>845853</v>
      </c>
      <c r="J82" s="312">
        <v>214613</v>
      </c>
      <c r="K82" s="312">
        <v>209385</v>
      </c>
      <c r="L82" s="312">
        <v>216796</v>
      </c>
      <c r="M82" s="312">
        <v>240617</v>
      </c>
      <c r="N82" s="313">
        <f>SUM(J82:M82)</f>
        <v>881411</v>
      </c>
      <c r="O82" s="312">
        <v>288092</v>
      </c>
      <c r="P82" s="312">
        <v>239546</v>
      </c>
      <c r="Q82" s="312">
        <v>243943</v>
      </c>
      <c r="R82" s="312">
        <v>231551</v>
      </c>
      <c r="S82" s="313">
        <f>SUM(O82:R82)</f>
        <v>1003132</v>
      </c>
      <c r="T82" s="312">
        <v>229467</v>
      </c>
      <c r="U82" s="312">
        <v>250811</v>
      </c>
      <c r="V82" s="312">
        <v>274149</v>
      </c>
      <c r="W82" s="156"/>
      <c r="X82" s="156"/>
      <c r="Y82" s="156"/>
      <c r="Z82" s="156"/>
      <c r="AA82" s="156"/>
      <c r="AB82" s="156"/>
      <c r="AC82" s="156"/>
      <c r="AD82" s="156"/>
      <c r="AE82" s="156"/>
      <c r="AF82" s="156"/>
      <c r="AG82" s="156"/>
      <c r="AH82" s="156"/>
      <c r="AI82" s="156"/>
      <c r="AJ82" s="156"/>
      <c r="AK82" s="156"/>
      <c r="AL82" s="156"/>
      <c r="AM82" s="156"/>
      <c r="AN82" s="156"/>
      <c r="AO82" s="156"/>
      <c r="AP82" s="156"/>
      <c r="AQ82" s="156"/>
      <c r="AR82" s="156"/>
      <c r="AS82" s="156"/>
      <c r="AT82" s="156"/>
      <c r="AU82" s="156"/>
      <c r="AV82" s="156"/>
      <c r="AW82" s="156"/>
      <c r="AX82" s="143"/>
      <c r="AY82" s="143"/>
      <c r="AZ82" s="143"/>
      <c r="BA82" s="143"/>
      <c r="BB82" s="143"/>
      <c r="BC82" s="143"/>
      <c r="BD82" s="143"/>
      <c r="BE82" s="143"/>
      <c r="BF82" s="143"/>
      <c r="BG82" s="143"/>
      <c r="BH82" s="143"/>
      <c r="BI82" s="143"/>
      <c r="BJ82" s="143"/>
      <c r="BK82" s="143"/>
      <c r="BL82" s="143"/>
      <c r="BM82" s="143"/>
      <c r="BN82" s="143"/>
      <c r="BO82" s="143"/>
      <c r="BP82" s="143"/>
    </row>
    <row r="83" spans="2:68" outlineLevel="1">
      <c r="B83" s="143"/>
      <c r="C83" s="143"/>
      <c r="D83" s="143" t="s">
        <v>79</v>
      </c>
      <c r="E83" s="312">
        <v>8045</v>
      </c>
      <c r="F83" s="312">
        <v>6951</v>
      </c>
      <c r="G83" s="312">
        <v>8232</v>
      </c>
      <c r="H83" s="312">
        <v>8045</v>
      </c>
      <c r="I83" s="313">
        <f>SUM(E83:H83)</f>
        <v>31273</v>
      </c>
      <c r="J83" s="312">
        <v>8807</v>
      </c>
      <c r="K83" s="312">
        <v>7671</v>
      </c>
      <c r="L83" s="312">
        <v>16127</v>
      </c>
      <c r="M83" s="312">
        <v>19319</v>
      </c>
      <c r="N83" s="313">
        <f>SUM(J83:M83)</f>
        <v>51924</v>
      </c>
      <c r="O83" s="312">
        <v>22848</v>
      </c>
      <c r="P83" s="312">
        <v>21598</v>
      </c>
      <c r="Q83" s="312">
        <v>21986</v>
      </c>
      <c r="R83" s="312">
        <v>18734</v>
      </c>
      <c r="S83" s="313">
        <f>SUM(O83:R83)</f>
        <v>85166</v>
      </c>
      <c r="T83" s="312">
        <v>19078</v>
      </c>
      <c r="U83" s="312">
        <v>19901</v>
      </c>
      <c r="V83" s="312">
        <v>16376</v>
      </c>
      <c r="W83" s="156"/>
      <c r="X83" s="156"/>
      <c r="Y83" s="156"/>
      <c r="Z83" s="156"/>
      <c r="AA83" s="156"/>
      <c r="AB83" s="156"/>
      <c r="AC83" s="156"/>
      <c r="AD83" s="156"/>
      <c r="AE83" s="156"/>
      <c r="AF83" s="156"/>
      <c r="AG83" s="156"/>
      <c r="AH83" s="156"/>
      <c r="AI83" s="156"/>
      <c r="AJ83" s="156"/>
      <c r="AK83" s="156"/>
      <c r="AL83" s="156"/>
      <c r="AM83" s="156"/>
      <c r="AN83" s="156"/>
      <c r="AO83" s="156"/>
      <c r="AP83" s="156"/>
      <c r="AQ83" s="156"/>
      <c r="AR83" s="156"/>
      <c r="AS83" s="156"/>
      <c r="AT83" s="156"/>
      <c r="AU83" s="156"/>
      <c r="AV83" s="156"/>
      <c r="AW83" s="156"/>
      <c r="AX83" s="143"/>
      <c r="AY83" s="143"/>
      <c r="AZ83" s="143"/>
      <c r="BA83" s="143"/>
      <c r="BB83" s="143"/>
      <c r="BC83" s="143"/>
      <c r="BD83" s="143"/>
      <c r="BE83" s="143"/>
      <c r="BF83" s="143"/>
      <c r="BG83" s="143"/>
      <c r="BH83" s="143"/>
      <c r="BI83" s="143"/>
      <c r="BJ83" s="143"/>
      <c r="BK83" s="143"/>
      <c r="BL83" s="143"/>
      <c r="BM83" s="143"/>
      <c r="BN83" s="143"/>
      <c r="BO83" s="143"/>
      <c r="BP83" s="143"/>
    </row>
    <row r="84" spans="2:68" s="64" customFormat="1" outlineLevel="1">
      <c r="B84" s="389"/>
      <c r="C84" s="389"/>
      <c r="D84" s="389" t="s">
        <v>89</v>
      </c>
      <c r="E84" s="323" t="s">
        <v>74</v>
      </c>
      <c r="F84" s="323" t="s">
        <v>74</v>
      </c>
      <c r="G84" s="323" t="s">
        <v>74</v>
      </c>
      <c r="H84" s="323" t="s">
        <v>74</v>
      </c>
      <c r="I84" s="321" t="s">
        <v>74</v>
      </c>
      <c r="J84" s="323" t="s">
        <v>74</v>
      </c>
      <c r="K84" s="323" t="s">
        <v>74</v>
      </c>
      <c r="L84" s="323" t="s">
        <v>74</v>
      </c>
      <c r="M84" s="323" t="s">
        <v>74</v>
      </c>
      <c r="N84" s="321" t="s">
        <v>74</v>
      </c>
      <c r="O84" s="323" t="s">
        <v>74</v>
      </c>
      <c r="P84" s="323" t="s">
        <v>74</v>
      </c>
      <c r="Q84" s="323" t="s">
        <v>74</v>
      </c>
      <c r="R84" s="323" t="s">
        <v>74</v>
      </c>
      <c r="S84" s="321" t="s">
        <v>74</v>
      </c>
      <c r="T84" s="312">
        <v>3469</v>
      </c>
      <c r="U84" s="323" t="s">
        <v>74</v>
      </c>
      <c r="V84" s="323" t="s">
        <v>74</v>
      </c>
      <c r="W84" s="324"/>
      <c r="X84" s="324"/>
      <c r="Y84" s="324"/>
      <c r="Z84" s="324"/>
      <c r="AA84" s="324"/>
      <c r="AB84" s="324"/>
      <c r="AC84" s="324"/>
      <c r="AD84" s="324"/>
      <c r="AE84" s="324"/>
      <c r="AF84" s="324"/>
      <c r="AG84" s="324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89"/>
      <c r="AY84" s="389"/>
      <c r="AZ84" s="389"/>
      <c r="BA84" s="389"/>
      <c r="BB84" s="389"/>
      <c r="BC84" s="389"/>
      <c r="BD84" s="389"/>
      <c r="BE84" s="389"/>
      <c r="BF84" s="389"/>
      <c r="BG84" s="389"/>
      <c r="BH84" s="389"/>
      <c r="BI84" s="389"/>
      <c r="BJ84" s="389"/>
      <c r="BK84" s="389"/>
      <c r="BL84" s="389"/>
      <c r="BM84" s="389"/>
      <c r="BN84" s="389"/>
      <c r="BO84" s="389"/>
      <c r="BP84" s="389"/>
    </row>
    <row r="85" spans="2:68" outlineLevel="1">
      <c r="B85" s="143"/>
      <c r="C85" s="143"/>
      <c r="D85" s="143" t="s">
        <v>80</v>
      </c>
      <c r="E85" s="312">
        <v>9035</v>
      </c>
      <c r="F85" s="312">
        <v>18637</v>
      </c>
      <c r="G85" s="312">
        <v>12506</v>
      </c>
      <c r="H85" s="312">
        <v>9035</v>
      </c>
      <c r="I85" s="313">
        <f>SUM(E85:H85)</f>
        <v>49213</v>
      </c>
      <c r="J85" s="312">
        <v>11232</v>
      </c>
      <c r="K85" s="312">
        <v>16505</v>
      </c>
      <c r="L85" s="312">
        <v>22035</v>
      </c>
      <c r="M85" s="312">
        <v>21566</v>
      </c>
      <c r="N85" s="313">
        <f>SUM(J85:M85)</f>
        <v>71338</v>
      </c>
      <c r="O85" s="312">
        <v>24687</v>
      </c>
      <c r="P85" s="312">
        <v>24399</v>
      </c>
      <c r="Q85" s="312">
        <v>24632</v>
      </c>
      <c r="R85" s="312">
        <v>22838</v>
      </c>
      <c r="S85" s="313">
        <f>SUM(O85:R85)</f>
        <v>96556</v>
      </c>
      <c r="T85" s="312">
        <v>27663</v>
      </c>
      <c r="U85" s="312">
        <v>26876</v>
      </c>
      <c r="V85" s="312">
        <v>27554</v>
      </c>
      <c r="W85" s="156"/>
      <c r="X85" s="156"/>
      <c r="Y85" s="156"/>
      <c r="Z85" s="156"/>
      <c r="AA85" s="156"/>
      <c r="AB85" s="156"/>
      <c r="AC85" s="156"/>
      <c r="AD85" s="156"/>
      <c r="AE85" s="156"/>
      <c r="AF85" s="156"/>
      <c r="AG85" s="156"/>
      <c r="AH85" s="156"/>
      <c r="AI85" s="156"/>
      <c r="AJ85" s="156"/>
      <c r="AK85" s="156"/>
      <c r="AL85" s="156"/>
      <c r="AM85" s="156"/>
      <c r="AN85" s="156"/>
      <c r="AO85" s="156"/>
      <c r="AP85" s="156"/>
      <c r="AQ85" s="156"/>
      <c r="AR85" s="156"/>
      <c r="AS85" s="156"/>
      <c r="AT85" s="156"/>
      <c r="AU85" s="156"/>
      <c r="AV85" s="156"/>
      <c r="AW85" s="156"/>
      <c r="AX85" s="143"/>
      <c r="AY85" s="143"/>
      <c r="AZ85" s="143"/>
      <c r="BA85" s="143"/>
      <c r="BB85" s="143"/>
      <c r="BC85" s="143"/>
      <c r="BD85" s="143"/>
      <c r="BE85" s="143"/>
      <c r="BF85" s="143"/>
      <c r="BG85" s="143"/>
      <c r="BH85" s="143"/>
      <c r="BI85" s="143"/>
      <c r="BJ85" s="143"/>
      <c r="BK85" s="143"/>
      <c r="BL85" s="143"/>
      <c r="BM85" s="143"/>
      <c r="BN85" s="143"/>
      <c r="BO85" s="143"/>
      <c r="BP85" s="143"/>
    </row>
    <row r="86" spans="2:68" outlineLevel="1">
      <c r="B86" s="143"/>
      <c r="C86" s="143"/>
      <c r="D86" s="143" t="s">
        <v>81</v>
      </c>
      <c r="E86" s="312">
        <v>5067</v>
      </c>
      <c r="F86" s="312">
        <v>-44009</v>
      </c>
      <c r="G86" s="312">
        <v>-2584</v>
      </c>
      <c r="H86" s="312">
        <v>5067</v>
      </c>
      <c r="I86" s="313">
        <f t="shared" ref="I86:I90" si="372">SUM(E86:H86)</f>
        <v>-36459</v>
      </c>
      <c r="J86" s="312">
        <v>-11707</v>
      </c>
      <c r="K86" s="312">
        <v>164</v>
      </c>
      <c r="L86" s="312">
        <v>1678</v>
      </c>
      <c r="M86" s="312">
        <v>44415</v>
      </c>
      <c r="N86" s="313">
        <f t="shared" ref="N86:N90" si="373">SUM(J86:M86)</f>
        <v>34550</v>
      </c>
      <c r="O86" s="312">
        <v>1481</v>
      </c>
      <c r="P86" s="312">
        <v>3529</v>
      </c>
      <c r="Q86" s="312">
        <v>8388</v>
      </c>
      <c r="R86" s="312">
        <v>3090</v>
      </c>
      <c r="S86" s="313">
        <f t="shared" ref="S86:S90" si="374">SUM(O86:R86)</f>
        <v>16488</v>
      </c>
      <c r="T86" s="312">
        <v>6186</v>
      </c>
      <c r="U86" s="312">
        <v>-36165</v>
      </c>
      <c r="V86" s="312">
        <v>-143167</v>
      </c>
      <c r="W86" s="156"/>
      <c r="X86" s="156"/>
      <c r="Y86" s="156"/>
      <c r="Z86" s="156"/>
      <c r="AA86" s="156"/>
      <c r="AB86" s="156"/>
      <c r="AC86" s="156"/>
      <c r="AD86" s="156"/>
      <c r="AE86" s="156"/>
      <c r="AF86" s="156"/>
      <c r="AG86" s="156"/>
      <c r="AH86" s="156"/>
      <c r="AI86" s="156"/>
      <c r="AJ86" s="156"/>
      <c r="AK86" s="156"/>
      <c r="AL86" s="156"/>
      <c r="AM86" s="156"/>
      <c r="AN86" s="156"/>
      <c r="AO86" s="156"/>
      <c r="AP86" s="156"/>
      <c r="AQ86" s="156"/>
      <c r="AR86" s="156"/>
      <c r="AS86" s="156"/>
      <c r="AT86" s="156"/>
      <c r="AU86" s="156"/>
      <c r="AV86" s="156"/>
      <c r="AW86" s="156"/>
      <c r="AX86" s="143"/>
      <c r="AY86" s="143"/>
      <c r="AZ86" s="143"/>
      <c r="BA86" s="143"/>
      <c r="BB86" s="143"/>
      <c r="BC86" s="143"/>
      <c r="BD86" s="143"/>
      <c r="BE86" s="143"/>
      <c r="BF86" s="143"/>
      <c r="BG86" s="143"/>
      <c r="BH86" s="143"/>
      <c r="BI86" s="143"/>
      <c r="BJ86" s="143"/>
      <c r="BK86" s="143"/>
      <c r="BL86" s="143"/>
      <c r="BM86" s="143"/>
      <c r="BN86" s="143"/>
      <c r="BO86" s="143"/>
      <c r="BP86" s="143"/>
    </row>
    <row r="87" spans="2:68" s="71" customFormat="1" outlineLevel="1">
      <c r="B87" s="146"/>
      <c r="C87" s="146"/>
      <c r="D87" s="146" t="s">
        <v>129</v>
      </c>
      <c r="E87" s="315">
        <f>E80-SUM(E82:E86)</f>
        <v>170517</v>
      </c>
      <c r="F87" s="315">
        <f>F80-SUM(F82:F86)</f>
        <v>189929</v>
      </c>
      <c r="G87" s="315">
        <f>G80-SUM(G82:G86)</f>
        <v>154337</v>
      </c>
      <c r="H87" s="315">
        <f>H80-SUM(H82:H86)</f>
        <v>170517</v>
      </c>
      <c r="I87" s="313">
        <f t="shared" si="372"/>
        <v>685300</v>
      </c>
      <c r="J87" s="315">
        <f>J80-SUM(J82:J86)</f>
        <v>155872</v>
      </c>
      <c r="K87" s="315">
        <f>K80-SUM(K82:K86)</f>
        <v>118616</v>
      </c>
      <c r="L87" s="315">
        <f>L80-SUM(L82:L86)</f>
        <v>140280</v>
      </c>
      <c r="M87" s="315">
        <f>M80-SUM(M82:M86)</f>
        <v>126550</v>
      </c>
      <c r="N87" s="313">
        <f t="shared" si="373"/>
        <v>541318</v>
      </c>
      <c r="O87" s="315">
        <f>O80-SUM(O82:O86)</f>
        <v>69229</v>
      </c>
      <c r="P87" s="315">
        <f>P80-SUM(P82:P86)</f>
        <v>116923</v>
      </c>
      <c r="Q87" s="315">
        <f>Q80-SUM(Q82:Q86)</f>
        <v>14742</v>
      </c>
      <c r="R87" s="315">
        <f>R80-SUM(R82:R86)</f>
        <v>140242</v>
      </c>
      <c r="S87" s="313">
        <f t="shared" si="374"/>
        <v>341136</v>
      </c>
      <c r="T87" s="315">
        <f>T80-T82-T83-T84-T85-T86</f>
        <v>98941</v>
      </c>
      <c r="U87" s="315">
        <f>U80-SUM(U82:U86)</f>
        <v>145509</v>
      </c>
      <c r="V87" s="315">
        <f>V80-SUM(V82:V86)</f>
        <v>218413</v>
      </c>
      <c r="W87" s="149"/>
      <c r="X87" s="149"/>
      <c r="Y87" s="149"/>
      <c r="Z87" s="149"/>
      <c r="AA87" s="149"/>
      <c r="AB87" s="149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6"/>
      <c r="AY87" s="146"/>
      <c r="AZ87" s="146"/>
      <c r="BA87" s="146"/>
      <c r="BB87" s="146"/>
      <c r="BC87" s="146"/>
      <c r="BD87" s="146"/>
      <c r="BE87" s="146"/>
      <c r="BF87" s="146"/>
      <c r="BG87" s="146"/>
      <c r="BH87" s="146"/>
      <c r="BI87" s="146"/>
      <c r="BJ87" s="146"/>
      <c r="BK87" s="146"/>
      <c r="BL87" s="146"/>
      <c r="BM87" s="146"/>
      <c r="BN87" s="146"/>
      <c r="BO87" s="146"/>
      <c r="BP87" s="146"/>
    </row>
    <row r="88" spans="2:68" outlineLevel="1">
      <c r="B88" s="143"/>
      <c r="C88" s="143"/>
      <c r="D88" s="143"/>
      <c r="E88" s="151"/>
      <c r="F88" s="151"/>
      <c r="G88" s="151"/>
      <c r="H88" s="151"/>
      <c r="I88" s="148"/>
      <c r="J88" s="151"/>
      <c r="K88" s="151"/>
      <c r="L88" s="151"/>
      <c r="M88" s="151"/>
      <c r="N88" s="148"/>
      <c r="O88" s="151"/>
      <c r="P88" s="151"/>
      <c r="Q88" s="151"/>
      <c r="R88" s="151"/>
      <c r="S88" s="148"/>
      <c r="T88" s="151"/>
      <c r="U88" s="151"/>
      <c r="V88" s="151"/>
      <c r="W88" s="156"/>
      <c r="X88" s="156"/>
      <c r="Y88" s="156"/>
      <c r="Z88" s="156"/>
      <c r="AA88" s="156"/>
      <c r="AB88" s="156"/>
      <c r="AC88" s="156"/>
      <c r="AD88" s="156"/>
      <c r="AE88" s="156"/>
      <c r="AF88" s="156"/>
      <c r="AG88" s="156"/>
      <c r="AH88" s="156"/>
      <c r="AI88" s="156"/>
      <c r="AJ88" s="156"/>
      <c r="AK88" s="156"/>
      <c r="AL88" s="156"/>
      <c r="AM88" s="156"/>
      <c r="AN88" s="156"/>
      <c r="AO88" s="156"/>
      <c r="AP88" s="156"/>
      <c r="AQ88" s="156"/>
      <c r="AR88" s="156"/>
      <c r="AS88" s="156"/>
      <c r="AT88" s="156"/>
      <c r="AU88" s="156"/>
      <c r="AV88" s="156"/>
      <c r="AW88" s="156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  <c r="BJ88" s="143"/>
      <c r="BK88" s="143"/>
      <c r="BL88" s="143"/>
      <c r="BM88" s="143"/>
      <c r="BN88" s="143"/>
      <c r="BO88" s="143"/>
      <c r="BP88" s="143"/>
    </row>
    <row r="89" spans="2:68" outlineLevel="1">
      <c r="B89" s="143"/>
      <c r="C89" s="143"/>
      <c r="D89" s="143" t="s">
        <v>82</v>
      </c>
      <c r="E89" s="312">
        <v>17618</v>
      </c>
      <c r="F89" s="312">
        <v>16042</v>
      </c>
      <c r="G89" s="312">
        <v>15434</v>
      </c>
      <c r="H89" s="312">
        <v>17618</v>
      </c>
      <c r="I89" s="313">
        <f t="shared" si="372"/>
        <v>66712</v>
      </c>
      <c r="J89" s="312">
        <v>20760</v>
      </c>
      <c r="K89" s="312">
        <v>7766</v>
      </c>
      <c r="L89" s="312">
        <v>17303</v>
      </c>
      <c r="M89" s="312">
        <v>-22360</v>
      </c>
      <c r="N89" s="313">
        <f t="shared" si="373"/>
        <v>23469</v>
      </c>
      <c r="O89" s="312">
        <v>7885</v>
      </c>
      <c r="P89" s="312">
        <v>11194</v>
      </c>
      <c r="Q89" s="312">
        <v>17250</v>
      </c>
      <c r="R89" s="312">
        <v>10773</v>
      </c>
      <c r="S89" s="313">
        <f t="shared" si="374"/>
        <v>47102</v>
      </c>
      <c r="T89" s="312">
        <v>12067</v>
      </c>
      <c r="U89" s="312">
        <v>20799</v>
      </c>
      <c r="V89" s="312">
        <v>13327</v>
      </c>
      <c r="W89" s="156"/>
      <c r="X89" s="156"/>
      <c r="Y89" s="156"/>
      <c r="Z89" s="156"/>
      <c r="AA89" s="156"/>
      <c r="AB89" s="156"/>
      <c r="AC89" s="156"/>
      <c r="AD89" s="156"/>
      <c r="AE89" s="156"/>
      <c r="AF89" s="156"/>
      <c r="AG89" s="156"/>
      <c r="AH89" s="156"/>
      <c r="AI89" s="156"/>
      <c r="AJ89" s="156"/>
      <c r="AK89" s="156"/>
      <c r="AL89" s="156"/>
      <c r="AM89" s="156"/>
      <c r="AN89" s="156"/>
      <c r="AO89" s="156"/>
      <c r="AP89" s="156"/>
      <c r="AQ89" s="156"/>
      <c r="AR89" s="156"/>
      <c r="AS89" s="156"/>
      <c r="AT89" s="156"/>
      <c r="AU89" s="156"/>
      <c r="AV89" s="156"/>
      <c r="AW89" s="156"/>
      <c r="AX89" s="143"/>
      <c r="AY89" s="143"/>
      <c r="AZ89" s="143"/>
      <c r="BA89" s="143"/>
      <c r="BB89" s="143"/>
      <c r="BC89" s="143"/>
      <c r="BD89" s="143"/>
      <c r="BE89" s="143"/>
      <c r="BF89" s="143"/>
      <c r="BG89" s="143"/>
      <c r="BH89" s="143"/>
      <c r="BI89" s="143"/>
      <c r="BJ89" s="143"/>
      <c r="BK89" s="143"/>
      <c r="BL89" s="143"/>
      <c r="BM89" s="143"/>
      <c r="BN89" s="143"/>
      <c r="BO89" s="143"/>
      <c r="BP89" s="143"/>
    </row>
    <row r="90" spans="2:68" s="71" customFormat="1" outlineLevel="1">
      <c r="B90" s="146"/>
      <c r="C90" s="146"/>
      <c r="D90" s="146" t="s">
        <v>83</v>
      </c>
      <c r="E90" s="315">
        <f>E87-E89</f>
        <v>152899</v>
      </c>
      <c r="F90" s="315">
        <f>F87-F89</f>
        <v>173887</v>
      </c>
      <c r="G90" s="315">
        <f>G87-G89</f>
        <v>138903</v>
      </c>
      <c r="H90" s="315">
        <f>H87-H89</f>
        <v>152899</v>
      </c>
      <c r="I90" s="313">
        <f t="shared" si="372"/>
        <v>618588</v>
      </c>
      <c r="J90" s="315">
        <f>J87-J89</f>
        <v>135112</v>
      </c>
      <c r="K90" s="315">
        <f>K87-K89</f>
        <v>110850</v>
      </c>
      <c r="L90" s="315">
        <f>L87-L89</f>
        <v>122977</v>
      </c>
      <c r="M90" s="315">
        <f>M87-M89</f>
        <v>148910</v>
      </c>
      <c r="N90" s="313">
        <f t="shared" si="373"/>
        <v>517849</v>
      </c>
      <c r="O90" s="315">
        <f>O87-O89</f>
        <v>61344</v>
      </c>
      <c r="P90" s="315">
        <f>P87-P89</f>
        <v>105729</v>
      </c>
      <c r="Q90" s="315">
        <f>Q87-Q89</f>
        <v>-2508</v>
      </c>
      <c r="R90" s="315">
        <f>R87-R89</f>
        <v>129469</v>
      </c>
      <c r="S90" s="313">
        <f t="shared" si="374"/>
        <v>294034</v>
      </c>
      <c r="T90" s="315">
        <f>T87-T89</f>
        <v>86874</v>
      </c>
      <c r="U90" s="315">
        <f>U87-U89</f>
        <v>124710</v>
      </c>
      <c r="V90" s="315">
        <f>V87-V89</f>
        <v>205086</v>
      </c>
      <c r="W90" s="149"/>
      <c r="X90" s="149"/>
      <c r="Y90" s="149"/>
      <c r="Z90" s="149"/>
      <c r="AA90" s="149"/>
      <c r="AB90" s="149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6"/>
      <c r="AY90" s="146"/>
      <c r="AZ90" s="146"/>
      <c r="BA90" s="146"/>
      <c r="BB90" s="146"/>
      <c r="BC90" s="146"/>
      <c r="BD90" s="146"/>
      <c r="BE90" s="146"/>
      <c r="BF90" s="146"/>
      <c r="BG90" s="146"/>
      <c r="BH90" s="146"/>
      <c r="BI90" s="146"/>
      <c r="BJ90" s="146"/>
      <c r="BK90" s="146"/>
      <c r="BL90" s="146"/>
      <c r="BM90" s="146"/>
      <c r="BN90" s="146"/>
      <c r="BO90" s="146"/>
      <c r="BP90" s="146"/>
    </row>
    <row r="91" spans="2:68" outlineLevel="1">
      <c r="B91" s="143"/>
      <c r="C91" s="143"/>
      <c r="D91" s="143"/>
      <c r="E91" s="151"/>
      <c r="F91" s="151"/>
      <c r="G91" s="151"/>
      <c r="H91" s="151"/>
      <c r="I91" s="148"/>
      <c r="J91" s="151"/>
      <c r="K91" s="151"/>
      <c r="L91" s="151"/>
      <c r="M91" s="151"/>
      <c r="N91" s="148"/>
      <c r="O91" s="151"/>
      <c r="P91" s="151"/>
      <c r="Q91" s="151"/>
      <c r="R91" s="151"/>
      <c r="S91" s="148"/>
      <c r="T91" s="151"/>
      <c r="U91" s="151"/>
      <c r="V91" s="151"/>
      <c r="W91" s="156"/>
      <c r="X91" s="156"/>
      <c r="Y91" s="156"/>
      <c r="Z91" s="156"/>
      <c r="AA91" s="156"/>
      <c r="AB91" s="156"/>
      <c r="AC91" s="156"/>
      <c r="AD91" s="156"/>
      <c r="AE91" s="156"/>
      <c r="AF91" s="156"/>
      <c r="AG91" s="156"/>
      <c r="AH91" s="156"/>
      <c r="AI91" s="156"/>
      <c r="AJ91" s="156"/>
      <c r="AK91" s="156"/>
      <c r="AL91" s="156"/>
      <c r="AM91" s="156"/>
      <c r="AN91" s="156"/>
      <c r="AO91" s="156"/>
      <c r="AP91" s="156"/>
      <c r="AQ91" s="156"/>
      <c r="AR91" s="156"/>
      <c r="AS91" s="156"/>
      <c r="AT91" s="156"/>
      <c r="AU91" s="156"/>
      <c r="AV91" s="156"/>
      <c r="AW91" s="156"/>
      <c r="AX91" s="143"/>
      <c r="AY91" s="143"/>
      <c r="AZ91" s="143"/>
      <c r="BA91" s="143"/>
      <c r="BB91" s="143"/>
      <c r="BC91" s="143"/>
      <c r="BD91" s="143"/>
      <c r="BE91" s="143"/>
      <c r="BF91" s="143"/>
      <c r="BG91" s="143"/>
      <c r="BH91" s="143"/>
      <c r="BI91" s="143"/>
      <c r="BJ91" s="143"/>
      <c r="BK91" s="143"/>
      <c r="BL91" s="143"/>
      <c r="BM91" s="143"/>
      <c r="BN91" s="143"/>
      <c r="BO91" s="143"/>
      <c r="BP91" s="143"/>
    </row>
    <row r="92" spans="2:68" outlineLevel="1">
      <c r="B92" s="143"/>
      <c r="C92" s="143"/>
      <c r="D92" s="143" t="s">
        <v>84</v>
      </c>
      <c r="E92" s="151"/>
      <c r="F92" s="151"/>
      <c r="G92" s="151"/>
      <c r="H92" s="151"/>
      <c r="I92" s="148"/>
      <c r="J92" s="151"/>
      <c r="K92" s="151"/>
      <c r="L92" s="151"/>
      <c r="M92" s="151"/>
      <c r="N92" s="148"/>
      <c r="O92" s="151"/>
      <c r="P92" s="151"/>
      <c r="Q92" s="151"/>
      <c r="R92" s="151"/>
      <c r="S92" s="148"/>
      <c r="T92" s="151"/>
      <c r="U92" s="151"/>
      <c r="V92" s="151"/>
      <c r="W92" s="156"/>
      <c r="X92" s="156"/>
      <c r="Y92" s="156"/>
      <c r="Z92" s="156"/>
      <c r="AA92" s="156"/>
      <c r="AB92" s="156"/>
      <c r="AC92" s="156"/>
      <c r="AD92" s="156"/>
      <c r="AE92" s="156"/>
      <c r="AF92" s="156"/>
      <c r="AG92" s="156"/>
      <c r="AH92" s="156"/>
      <c r="AI92" s="156"/>
      <c r="AJ92" s="156"/>
      <c r="AK92" s="156"/>
      <c r="AL92" s="156"/>
      <c r="AM92" s="156"/>
      <c r="AN92" s="156"/>
      <c r="AO92" s="156"/>
      <c r="AP92" s="156"/>
      <c r="AQ92" s="156"/>
      <c r="AR92" s="156"/>
      <c r="AS92" s="156"/>
      <c r="AT92" s="156"/>
      <c r="AU92" s="156"/>
      <c r="AV92" s="156"/>
      <c r="AW92" s="156"/>
      <c r="AX92" s="143"/>
      <c r="AY92" s="143"/>
      <c r="AZ92" s="143"/>
      <c r="BA92" s="143"/>
      <c r="BB92" s="143"/>
      <c r="BC92" s="143"/>
      <c r="BD92" s="143"/>
      <c r="BE92" s="143"/>
      <c r="BF92" s="143"/>
      <c r="BG92" s="143"/>
      <c r="BH92" s="143"/>
      <c r="BI92" s="143"/>
      <c r="BJ92" s="143"/>
      <c r="BK92" s="143"/>
      <c r="BL92" s="143"/>
      <c r="BM92" s="143"/>
      <c r="BN92" s="143"/>
      <c r="BO92" s="143"/>
      <c r="BP92" s="143"/>
    </row>
    <row r="93" spans="2:68" s="76" customFormat="1" outlineLevel="1">
      <c r="B93" s="179"/>
      <c r="C93" s="179"/>
      <c r="D93" s="179" t="s">
        <v>85</v>
      </c>
      <c r="E93" s="320">
        <f>E90/E96</f>
        <v>0.26491751811032355</v>
      </c>
      <c r="F93" s="320">
        <f>F90/F96</f>
        <v>0.29611244599673381</v>
      </c>
      <c r="G93" s="320">
        <f>G90/G96</f>
        <v>0.23713295547664573</v>
      </c>
      <c r="H93" s="320">
        <f>H90/H96</f>
        <v>0.26491751811032355</v>
      </c>
      <c r="I93" s="366">
        <f t="shared" ref="I93:I94" si="375">SUM(E93:H93)</f>
        <v>1.0630804376940266</v>
      </c>
      <c r="J93" s="320">
        <f>J90/J96</f>
        <v>0.23221025277905721</v>
      </c>
      <c r="K93" s="320">
        <f>K90/K96</f>
        <v>0.19600562289472986</v>
      </c>
      <c r="L93" s="320">
        <f t="shared" ref="L93:M93" si="376">L90/L96</f>
        <v>0.2183024960369799</v>
      </c>
      <c r="M93" s="320">
        <f t="shared" si="376"/>
        <v>0.26834547023980077</v>
      </c>
      <c r="N93" s="366">
        <f t="shared" ref="N93:N94" si="377">SUM(J93:M93)</f>
        <v>0.91486384195056769</v>
      </c>
      <c r="O93" s="320">
        <v>0.11</v>
      </c>
      <c r="P93" s="320">
        <f>P90/P96</f>
        <v>0.19412960334611876</v>
      </c>
      <c r="Q93" s="320">
        <f>Q90/Q96</f>
        <v>-4.6098280504728384E-3</v>
      </c>
      <c r="R93" s="320">
        <f>R90/R96</f>
        <v>0.23991824148781221</v>
      </c>
      <c r="S93" s="366">
        <f t="shared" ref="S93:S94" si="378">SUM(O93:R93)</f>
        <v>0.53943801678345815</v>
      </c>
      <c r="T93" s="320">
        <f>T90/T96</f>
        <v>0.16064513981604417</v>
      </c>
      <c r="U93" s="320">
        <f>U90/U96</f>
        <v>0.23518296408608477</v>
      </c>
      <c r="V93" s="320">
        <f>V90/V96</f>
        <v>0.38599846041787045</v>
      </c>
      <c r="W93" s="180"/>
      <c r="X93" s="180"/>
      <c r="Y93" s="180"/>
      <c r="Z93" s="180"/>
      <c r="AA93" s="180"/>
      <c r="AB93" s="180"/>
      <c r="AC93" s="180"/>
      <c r="AD93" s="180"/>
      <c r="AE93" s="180"/>
      <c r="AF93" s="180"/>
      <c r="AG93" s="180"/>
      <c r="AH93" s="180"/>
      <c r="AI93" s="180"/>
      <c r="AJ93" s="180"/>
      <c r="AK93" s="180"/>
      <c r="AL93" s="180"/>
      <c r="AM93" s="180"/>
      <c r="AN93" s="180"/>
      <c r="AO93" s="180"/>
      <c r="AP93" s="180"/>
      <c r="AQ93" s="180"/>
      <c r="AR93" s="180"/>
      <c r="AS93" s="180"/>
      <c r="AT93" s="180"/>
      <c r="AU93" s="180"/>
      <c r="AV93" s="180"/>
      <c r="AW93" s="180"/>
      <c r="AX93" s="179"/>
      <c r="AY93" s="179"/>
      <c r="AZ93" s="179"/>
      <c r="BA93" s="179"/>
      <c r="BB93" s="179"/>
      <c r="BC93" s="179"/>
      <c r="BD93" s="179"/>
      <c r="BE93" s="179"/>
      <c r="BF93" s="179"/>
      <c r="BG93" s="179"/>
      <c r="BH93" s="179"/>
      <c r="BI93" s="179"/>
      <c r="BJ93" s="179"/>
      <c r="BK93" s="179"/>
      <c r="BL93" s="179"/>
      <c r="BM93" s="179"/>
      <c r="BN93" s="179"/>
      <c r="BO93" s="179"/>
      <c r="BP93" s="179"/>
    </row>
    <row r="94" spans="2:68" s="76" customFormat="1" outlineLevel="1">
      <c r="B94" s="179"/>
      <c r="C94" s="179"/>
      <c r="D94" s="179" t="s">
        <v>86</v>
      </c>
      <c r="E94" s="320">
        <f>E90/E97</f>
        <v>0.26038613694458967</v>
      </c>
      <c r="F94" s="320">
        <f>F90/F97</f>
        <v>0.28918509895227007</v>
      </c>
      <c r="G94" s="320">
        <f>G90/G97</f>
        <v>0.23310917967143896</v>
      </c>
      <c r="H94" s="320">
        <f>H90/H97</f>
        <v>0.26038613694458967</v>
      </c>
      <c r="I94" s="366">
        <f t="shared" si="375"/>
        <v>1.0430665525128884</v>
      </c>
      <c r="J94" s="320">
        <v>0.27</v>
      </c>
      <c r="K94" s="320">
        <f>K90/K97</f>
        <v>0.19178300233392215</v>
      </c>
      <c r="L94" s="320">
        <f t="shared" ref="L94:M94" si="379">L90/L97</f>
        <v>0.21587978688855536</v>
      </c>
      <c r="M94" s="320">
        <f t="shared" si="379"/>
        <v>0.2654386127530321</v>
      </c>
      <c r="N94" s="366">
        <f t="shared" si="377"/>
        <v>0.94310140197550973</v>
      </c>
      <c r="O94" s="320">
        <v>0.28999999999999998</v>
      </c>
      <c r="P94" s="320">
        <f>P90/P97</f>
        <v>0.19187556371806203</v>
      </c>
      <c r="Q94" s="320">
        <f>Q90/Q97</f>
        <v>-4.6098280504728384E-3</v>
      </c>
      <c r="R94" s="320">
        <f>R90/R97</f>
        <v>0.23754820906312038</v>
      </c>
      <c r="S94" s="366">
        <f t="shared" si="378"/>
        <v>0.71481394473070958</v>
      </c>
      <c r="T94" s="320">
        <v>0.28999999999999998</v>
      </c>
      <c r="U94" s="320">
        <f>U90/U97</f>
        <v>0.23153055976889644</v>
      </c>
      <c r="V94" s="320">
        <f>V90/V97</f>
        <v>0.38260957167563092</v>
      </c>
      <c r="W94" s="180"/>
      <c r="X94" s="180"/>
      <c r="Y94" s="180"/>
      <c r="Z94" s="180"/>
      <c r="AA94" s="180"/>
      <c r="AB94" s="180"/>
      <c r="AC94" s="180"/>
      <c r="AD94" s="180"/>
      <c r="AE94" s="180"/>
      <c r="AF94" s="180"/>
      <c r="AG94" s="180"/>
      <c r="AH94" s="180"/>
      <c r="AI94" s="180"/>
      <c r="AJ94" s="180"/>
      <c r="AK94" s="180"/>
      <c r="AL94" s="180"/>
      <c r="AM94" s="180"/>
      <c r="AN94" s="180"/>
      <c r="AO94" s="180"/>
      <c r="AP94" s="180"/>
      <c r="AQ94" s="180"/>
      <c r="AR94" s="180"/>
      <c r="AS94" s="180"/>
      <c r="AT94" s="180"/>
      <c r="AU94" s="180"/>
      <c r="AV94" s="180"/>
      <c r="AW94" s="180"/>
      <c r="AX94" s="179"/>
      <c r="AY94" s="179"/>
      <c r="AZ94" s="179"/>
      <c r="BA94" s="179"/>
      <c r="BB94" s="179"/>
      <c r="BC94" s="179"/>
      <c r="BD94" s="179"/>
      <c r="BE94" s="179"/>
      <c r="BF94" s="179"/>
      <c r="BG94" s="179"/>
      <c r="BH94" s="179"/>
      <c r="BI94" s="179"/>
      <c r="BJ94" s="179"/>
      <c r="BK94" s="179"/>
      <c r="BL94" s="179"/>
      <c r="BM94" s="179"/>
      <c r="BN94" s="179"/>
      <c r="BO94" s="179"/>
      <c r="BP94" s="179"/>
    </row>
    <row r="95" spans="2:68" outlineLevel="1">
      <c r="B95" s="143"/>
      <c r="C95" s="143"/>
      <c r="D95" s="143"/>
      <c r="E95" s="151"/>
      <c r="F95" s="151"/>
      <c r="G95" s="151"/>
      <c r="H95" s="151"/>
      <c r="I95" s="148"/>
      <c r="J95" s="151"/>
      <c r="K95" s="151"/>
      <c r="L95" s="151"/>
      <c r="M95" s="151"/>
      <c r="N95" s="148"/>
      <c r="O95" s="151"/>
      <c r="P95" s="151"/>
      <c r="Q95" s="151"/>
      <c r="R95" s="151"/>
      <c r="S95" s="148"/>
      <c r="T95" s="151"/>
      <c r="U95" s="151"/>
      <c r="V95" s="151"/>
      <c r="W95" s="156"/>
      <c r="X95" s="156"/>
      <c r="Y95" s="156"/>
      <c r="Z95" s="156"/>
      <c r="AA95" s="156"/>
      <c r="AB95" s="156"/>
      <c r="AC95" s="156"/>
      <c r="AD95" s="156"/>
      <c r="AE95" s="156"/>
      <c r="AF95" s="156"/>
      <c r="AG95" s="156"/>
      <c r="AH95" s="156"/>
      <c r="AI95" s="156"/>
      <c r="AJ95" s="156"/>
      <c r="AK95" s="156"/>
      <c r="AL95" s="156"/>
      <c r="AM95" s="156"/>
      <c r="AN95" s="156"/>
      <c r="AO95" s="156"/>
      <c r="AP95" s="156"/>
      <c r="AQ95" s="156"/>
      <c r="AR95" s="156"/>
      <c r="AS95" s="156"/>
      <c r="AT95" s="156"/>
      <c r="AU95" s="156"/>
      <c r="AV95" s="156"/>
      <c r="AW95" s="156"/>
      <c r="AX95" s="143"/>
      <c r="AY95" s="143"/>
      <c r="AZ95" s="143"/>
      <c r="BA95" s="143"/>
      <c r="BB95" s="143"/>
      <c r="BC95" s="143"/>
      <c r="BD95" s="143"/>
      <c r="BE95" s="143"/>
      <c r="BF95" s="143"/>
      <c r="BG95" s="143"/>
      <c r="BH95" s="143"/>
      <c r="BI95" s="143"/>
      <c r="BJ95" s="143"/>
      <c r="BK95" s="143"/>
      <c r="BL95" s="143"/>
      <c r="BM95" s="143"/>
      <c r="BN95" s="143"/>
      <c r="BO95" s="143"/>
      <c r="BP95" s="143"/>
    </row>
    <row r="96" spans="2:68" outlineLevel="1">
      <c r="B96" s="143"/>
      <c r="C96" s="143"/>
      <c r="D96" s="143" t="s">
        <v>87</v>
      </c>
      <c r="E96" s="312">
        <v>577157</v>
      </c>
      <c r="F96" s="312">
        <v>587233</v>
      </c>
      <c r="G96" s="312">
        <v>585760</v>
      </c>
      <c r="H96" s="312">
        <v>577157</v>
      </c>
      <c r="I96" s="354">
        <f>H96</f>
        <v>577157</v>
      </c>
      <c r="J96" s="312">
        <v>581852</v>
      </c>
      <c r="K96" s="312">
        <v>565545</v>
      </c>
      <c r="L96" s="312">
        <v>563333</v>
      </c>
      <c r="M96" s="312">
        <v>554919</v>
      </c>
      <c r="N96" s="354">
        <f>M96</f>
        <v>554919</v>
      </c>
      <c r="O96" s="312"/>
      <c r="P96" s="312">
        <v>544631</v>
      </c>
      <c r="Q96" s="312">
        <v>544055</v>
      </c>
      <c r="R96" s="312">
        <v>539638</v>
      </c>
      <c r="S96" s="354">
        <f>R96</f>
        <v>539638</v>
      </c>
      <c r="T96" s="312">
        <v>540782</v>
      </c>
      <c r="U96" s="312">
        <v>530268</v>
      </c>
      <c r="V96" s="312">
        <v>531313</v>
      </c>
      <c r="W96" s="156"/>
      <c r="X96" s="156"/>
      <c r="Y96" s="156"/>
      <c r="Z96" s="156"/>
      <c r="AA96" s="156"/>
      <c r="AB96" s="156"/>
      <c r="AC96" s="156"/>
      <c r="AD96" s="156"/>
      <c r="AE96" s="156"/>
      <c r="AF96" s="156"/>
      <c r="AG96" s="156"/>
      <c r="AH96" s="156"/>
      <c r="AI96" s="156"/>
      <c r="AJ96" s="156"/>
      <c r="AK96" s="156"/>
      <c r="AL96" s="156"/>
      <c r="AM96" s="156"/>
      <c r="AN96" s="156"/>
      <c r="AO96" s="156"/>
      <c r="AP96" s="156"/>
      <c r="AQ96" s="156"/>
      <c r="AR96" s="156"/>
      <c r="AS96" s="156"/>
      <c r="AT96" s="156"/>
      <c r="AU96" s="156"/>
      <c r="AV96" s="156"/>
      <c r="AW96" s="156"/>
      <c r="AX96" s="143"/>
      <c r="AY96" s="143"/>
      <c r="AZ96" s="143"/>
      <c r="BA96" s="143"/>
      <c r="BB96" s="143"/>
      <c r="BC96" s="143"/>
      <c r="BD96" s="143"/>
      <c r="BE96" s="143"/>
      <c r="BF96" s="143"/>
      <c r="BG96" s="143"/>
      <c r="BH96" s="143"/>
      <c r="BI96" s="143"/>
      <c r="BJ96" s="143"/>
      <c r="BK96" s="143"/>
      <c r="BL96" s="143"/>
      <c r="BM96" s="143"/>
      <c r="BN96" s="143"/>
      <c r="BO96" s="143"/>
      <c r="BP96" s="143"/>
    </row>
    <row r="97" spans="2:68" outlineLevel="1">
      <c r="B97" s="143"/>
      <c r="C97" s="143"/>
      <c r="D97" s="143" t="s">
        <v>88</v>
      </c>
      <c r="E97" s="312">
        <v>587201</v>
      </c>
      <c r="F97" s="312">
        <v>601300</v>
      </c>
      <c r="G97" s="312">
        <v>595871</v>
      </c>
      <c r="H97" s="312">
        <v>587201</v>
      </c>
      <c r="I97" s="354">
        <f>H97</f>
        <v>587201</v>
      </c>
      <c r="J97" s="312"/>
      <c r="K97" s="312">
        <v>577997</v>
      </c>
      <c r="L97" s="312">
        <v>569655</v>
      </c>
      <c r="M97" s="312">
        <v>560996</v>
      </c>
      <c r="N97" s="354">
        <f>M97</f>
        <v>560996</v>
      </c>
      <c r="O97" s="312">
        <v>552828</v>
      </c>
      <c r="P97" s="312">
        <v>551029</v>
      </c>
      <c r="Q97" s="312">
        <v>544055</v>
      </c>
      <c r="R97" s="312">
        <v>545022</v>
      </c>
      <c r="S97" s="354">
        <f>R97</f>
        <v>545022</v>
      </c>
      <c r="T97" s="312"/>
      <c r="U97" s="312">
        <v>538633</v>
      </c>
      <c r="V97" s="312">
        <v>536019</v>
      </c>
      <c r="W97" s="156"/>
      <c r="X97" s="156"/>
      <c r="Y97" s="156"/>
      <c r="Z97" s="156"/>
      <c r="AA97" s="156"/>
      <c r="AB97" s="156"/>
      <c r="AC97" s="156"/>
      <c r="AD97" s="156"/>
      <c r="AE97" s="156"/>
      <c r="AF97" s="156"/>
      <c r="AG97" s="156"/>
      <c r="AH97" s="156"/>
      <c r="AI97" s="156"/>
      <c r="AJ97" s="156"/>
      <c r="AK97" s="156"/>
      <c r="AL97" s="156"/>
      <c r="AM97" s="156"/>
      <c r="AN97" s="156"/>
      <c r="AO97" s="156"/>
      <c r="AP97" s="156"/>
      <c r="AQ97" s="156"/>
      <c r="AR97" s="156"/>
      <c r="AS97" s="156"/>
      <c r="AT97" s="156"/>
      <c r="AU97" s="156"/>
      <c r="AV97" s="156"/>
      <c r="AW97" s="156"/>
      <c r="AX97" s="143"/>
      <c r="AY97" s="143"/>
      <c r="AZ97" s="143"/>
      <c r="BA97" s="143"/>
      <c r="BB97" s="143"/>
      <c r="BC97" s="143"/>
      <c r="BD97" s="143"/>
      <c r="BE97" s="143"/>
      <c r="BF97" s="143"/>
      <c r="BG97" s="143"/>
      <c r="BH97" s="143"/>
      <c r="BI97" s="143"/>
      <c r="BJ97" s="143"/>
      <c r="BK97" s="143"/>
      <c r="BL97" s="143"/>
      <c r="BM97" s="143"/>
      <c r="BN97" s="143"/>
      <c r="BO97" s="143"/>
      <c r="BP97" s="143"/>
    </row>
    <row r="98" spans="2:68">
      <c r="B98" s="143"/>
      <c r="C98" s="143"/>
      <c r="D98" s="143"/>
      <c r="E98" s="154"/>
      <c r="F98" s="154"/>
      <c r="G98" s="154"/>
      <c r="H98" s="154"/>
      <c r="I98" s="165"/>
      <c r="J98" s="154"/>
      <c r="K98" s="154"/>
      <c r="L98" s="154"/>
      <c r="M98" s="154"/>
      <c r="O98" s="154"/>
      <c r="P98" s="154"/>
      <c r="Q98" s="154"/>
      <c r="R98" s="154"/>
      <c r="S98" s="165"/>
      <c r="T98" s="154"/>
      <c r="U98" s="154"/>
      <c r="V98" s="154"/>
      <c r="W98" s="154"/>
      <c r="X98" s="154"/>
      <c r="Y98" s="154"/>
      <c r="Z98" s="154"/>
      <c r="AA98" s="154"/>
      <c r="AB98" s="154"/>
      <c r="AC98" s="154"/>
      <c r="AD98" s="154"/>
      <c r="AE98" s="154"/>
      <c r="AF98" s="154"/>
      <c r="AG98" s="154"/>
      <c r="AH98" s="154"/>
      <c r="AI98" s="154"/>
      <c r="AJ98" s="154"/>
      <c r="AK98" s="154"/>
      <c r="AL98" s="154"/>
      <c r="AM98" s="154"/>
      <c r="AN98" s="154"/>
      <c r="AO98" s="154"/>
      <c r="AP98" s="154"/>
      <c r="AQ98" s="154"/>
      <c r="AR98" s="154"/>
      <c r="AS98" s="154"/>
      <c r="AT98" s="154"/>
      <c r="AU98" s="154"/>
      <c r="AV98" s="154"/>
      <c r="AW98" s="154"/>
      <c r="AX98" s="143"/>
      <c r="AY98" s="143"/>
      <c r="AZ98" s="143"/>
      <c r="BA98" s="143"/>
      <c r="BB98" s="143"/>
      <c r="BC98" s="143"/>
      <c r="BD98" s="143"/>
      <c r="BE98" s="143"/>
      <c r="BF98" s="143"/>
      <c r="BG98" s="143"/>
      <c r="BH98" s="143"/>
      <c r="BI98" s="143"/>
      <c r="BJ98" s="143"/>
      <c r="BK98" s="143"/>
      <c r="BL98" s="143"/>
      <c r="BM98" s="143"/>
      <c r="BN98" s="143"/>
      <c r="BO98" s="143"/>
      <c r="BP98" s="143"/>
    </row>
    <row r="99" spans="2:68">
      <c r="B99" s="143"/>
      <c r="C99" s="143"/>
      <c r="D99" s="144" t="s">
        <v>47</v>
      </c>
      <c r="E99" s="145"/>
      <c r="F99" s="145"/>
      <c r="G99" s="145"/>
      <c r="H99" s="145"/>
      <c r="I99" s="145"/>
      <c r="J99" s="145"/>
      <c r="K99" s="145"/>
      <c r="L99" s="145"/>
      <c r="M99" s="145"/>
      <c r="N99" s="145"/>
      <c r="O99" s="145"/>
      <c r="P99" s="145"/>
      <c r="Q99" s="145"/>
      <c r="R99" s="145"/>
      <c r="S99" s="145"/>
      <c r="T99" s="145"/>
      <c r="U99" s="145"/>
      <c r="V99" s="145"/>
      <c r="W99" s="145"/>
      <c r="X99" s="145"/>
      <c r="Y99" s="145"/>
      <c r="Z99" s="145"/>
      <c r="AA99" s="145"/>
      <c r="AB99" s="145"/>
      <c r="AC99" s="145"/>
      <c r="AD99" s="145"/>
      <c r="AE99" s="145"/>
      <c r="AF99" s="145"/>
      <c r="AG99" s="145"/>
      <c r="AH99" s="145"/>
      <c r="AI99" s="145"/>
      <c r="AJ99" s="145"/>
      <c r="AK99" s="145"/>
      <c r="AL99" s="145"/>
      <c r="AM99" s="145"/>
      <c r="AN99" s="145"/>
      <c r="AO99" s="145"/>
      <c r="AP99" s="145"/>
      <c r="AQ99" s="145"/>
      <c r="AR99" s="145"/>
      <c r="AS99" s="145"/>
      <c r="AT99" s="145"/>
      <c r="AU99" s="145"/>
      <c r="AV99" s="145"/>
      <c r="AW99" s="145"/>
      <c r="AX99" s="143"/>
      <c r="AY99" s="143"/>
      <c r="AZ99" s="143"/>
      <c r="BA99" s="143"/>
      <c r="BB99" s="143"/>
      <c r="BC99" s="143"/>
      <c r="BD99" s="143"/>
      <c r="BE99" s="143"/>
      <c r="BF99" s="143"/>
      <c r="BG99" s="143"/>
      <c r="BH99" s="143"/>
      <c r="BI99" s="143"/>
      <c r="BJ99" s="143"/>
      <c r="BK99" s="143"/>
      <c r="BL99" s="143"/>
      <c r="BM99" s="143"/>
      <c r="BN99" s="143"/>
      <c r="BO99" s="143"/>
      <c r="BP99" s="143"/>
    </row>
    <row r="100" spans="2:68">
      <c r="B100" s="143"/>
      <c r="C100" s="143"/>
      <c r="D100" s="143" t="s">
        <v>49</v>
      </c>
      <c r="E100" s="312">
        <v>1593728</v>
      </c>
      <c r="F100" s="312">
        <v>1347690</v>
      </c>
      <c r="G100" s="312">
        <v>1514352</v>
      </c>
      <c r="H100" s="312">
        <v>1707221</v>
      </c>
      <c r="I100" s="354">
        <f>H100</f>
        <v>1707221</v>
      </c>
      <c r="J100" s="312">
        <v>1628408</v>
      </c>
      <c r="K100" s="312">
        <v>2331411</v>
      </c>
      <c r="L100" s="312">
        <v>1668427</v>
      </c>
      <c r="M100" s="312">
        <v>1634194</v>
      </c>
      <c r="N100" s="354">
        <f>M100</f>
        <v>1634194</v>
      </c>
      <c r="O100" s="312">
        <v>1607570</v>
      </c>
      <c r="P100" s="312">
        <v>1679335</v>
      </c>
      <c r="Q100" s="312">
        <v>1537056</v>
      </c>
      <c r="R100" s="312">
        <v>1857096</v>
      </c>
      <c r="S100" s="354">
        <f>R100</f>
        <v>1857096</v>
      </c>
      <c r="T100" s="312">
        <v>1830675</v>
      </c>
      <c r="U100" s="312">
        <v>1582197</v>
      </c>
      <c r="V100" s="312">
        <v>1369502</v>
      </c>
      <c r="W100" s="341">
        <f>W171</f>
        <v>1613713.5495891343</v>
      </c>
      <c r="X100" s="342">
        <f>W100</f>
        <v>1613713.5495891343</v>
      </c>
      <c r="Y100" s="341">
        <f>Y171</f>
        <v>1738122.2960200959</v>
      </c>
      <c r="Z100" s="341">
        <f>Z171</f>
        <v>1834725.4218367576</v>
      </c>
      <c r="AA100" s="341">
        <f t="shared" ref="AA100:AB100" si="380">AA171</f>
        <v>1963109.5925483711</v>
      </c>
      <c r="AB100" s="341">
        <f t="shared" si="380"/>
        <v>2428162.1074205902</v>
      </c>
      <c r="AC100" s="342">
        <f>AB100</f>
        <v>2428162.1074205902</v>
      </c>
      <c r="AD100" s="341">
        <f>AD171</f>
        <v>2552503.0771217584</v>
      </c>
      <c r="AE100" s="341">
        <f t="shared" ref="AE100:AG100" si="381">AE171</f>
        <v>2659520.1098462138</v>
      </c>
      <c r="AF100" s="341">
        <f t="shared" si="381"/>
        <v>2752924.2548358133</v>
      </c>
      <c r="AG100" s="341">
        <f t="shared" si="381"/>
        <v>3306428.1327184946</v>
      </c>
      <c r="AH100" s="342">
        <f>AG100</f>
        <v>3306428.1327184946</v>
      </c>
      <c r="AI100" s="341">
        <f>AI171</f>
        <v>3467294.9193206085</v>
      </c>
      <c r="AJ100" s="341">
        <f t="shared" ref="AJ100:AL100" si="382">AJ171</f>
        <v>3586475.5675492282</v>
      </c>
      <c r="AK100" s="341">
        <f t="shared" si="382"/>
        <v>3718305.4629520089</v>
      </c>
      <c r="AL100" s="341">
        <f t="shared" si="382"/>
        <v>4202291.2663113903</v>
      </c>
      <c r="AM100" s="342">
        <f>AL100</f>
        <v>4202291.2663113903</v>
      </c>
      <c r="AN100" s="341">
        <f>AN171</f>
        <v>4411434.3149371678</v>
      </c>
      <c r="AO100" s="341">
        <f t="shared" ref="AO100:AQ100" si="383">AO171</f>
        <v>4522862.214239723</v>
      </c>
      <c r="AP100" s="341">
        <f t="shared" si="383"/>
        <v>4649194.9926371789</v>
      </c>
      <c r="AQ100" s="341">
        <f t="shared" si="383"/>
        <v>5238009.3087659264</v>
      </c>
      <c r="AR100" s="342">
        <f>AQ100</f>
        <v>5238009.3087659264</v>
      </c>
      <c r="AS100" s="341">
        <f>AS171</f>
        <v>5482010.9759224784</v>
      </c>
      <c r="AT100" s="341">
        <f t="shared" ref="AT100:AV100" si="384">AT171</f>
        <v>5598194.5546166934</v>
      </c>
      <c r="AU100" s="341">
        <f t="shared" si="384"/>
        <v>5720843.2947382871</v>
      </c>
      <c r="AV100" s="341">
        <f t="shared" si="384"/>
        <v>6354060.7260966673</v>
      </c>
      <c r="AW100" s="342">
        <f>AV100</f>
        <v>6354060.7260966673</v>
      </c>
      <c r="AX100" s="143"/>
      <c r="AY100" s="143"/>
      <c r="AZ100" s="143"/>
      <c r="BA100" s="143"/>
      <c r="BB100" s="143"/>
      <c r="BC100" s="143"/>
      <c r="BD100" s="143"/>
      <c r="BE100" s="143"/>
      <c r="BF100" s="143"/>
      <c r="BG100" s="143"/>
      <c r="BH100" s="143"/>
      <c r="BI100" s="143"/>
      <c r="BJ100" s="143"/>
      <c r="BK100" s="143"/>
      <c r="BL100" s="143"/>
      <c r="BM100" s="143"/>
      <c r="BN100" s="143"/>
      <c r="BO100" s="143"/>
      <c r="BP100" s="143"/>
    </row>
    <row r="101" spans="2:68">
      <c r="B101" s="143"/>
      <c r="C101" s="143"/>
      <c r="D101" s="143" t="s">
        <v>50</v>
      </c>
      <c r="E101" s="312">
        <v>2697985</v>
      </c>
      <c r="F101" s="312">
        <v>2894622</v>
      </c>
      <c r="G101" s="312">
        <v>2526880</v>
      </c>
      <c r="H101" s="312">
        <v>2449773</v>
      </c>
      <c r="I101" s="354">
        <f t="shared" ref="I101:I127" si="385">H101</f>
        <v>2449773</v>
      </c>
      <c r="J101" s="312">
        <v>2337515</v>
      </c>
      <c r="K101" s="312">
        <v>2137255</v>
      </c>
      <c r="L101" s="312">
        <v>2546810</v>
      </c>
      <c r="M101" s="312">
        <v>2584909</v>
      </c>
      <c r="N101" s="354">
        <f t="shared" ref="N101:N127" si="386">M101</f>
        <v>2584909</v>
      </c>
      <c r="O101" s="312">
        <v>2044757</v>
      </c>
      <c r="P101" s="312">
        <v>2057943</v>
      </c>
      <c r="Q101" s="312">
        <v>2341393</v>
      </c>
      <c r="R101" s="312">
        <v>2162750</v>
      </c>
      <c r="S101" s="354">
        <f t="shared" ref="S101:S104" si="387">R101</f>
        <v>2162750</v>
      </c>
      <c r="T101" s="312">
        <v>2192704</v>
      </c>
      <c r="U101" s="312">
        <v>2325845</v>
      </c>
      <c r="V101" s="312">
        <v>2632934</v>
      </c>
      <c r="W101" s="347">
        <f>W133*W5/W132</f>
        <v>2515680.3100519055</v>
      </c>
      <c r="X101" s="342">
        <f t="shared" ref="X101:X104" si="388">W101</f>
        <v>2515680.3100519055</v>
      </c>
      <c r="Y101" s="347">
        <f>Y133*Y5/Y132</f>
        <v>2294490.8704318176</v>
      </c>
      <c r="Z101" s="347">
        <f>Z133*Z5/Z132</f>
        <v>2371806.7024047272</v>
      </c>
      <c r="AA101" s="347">
        <f>AA133*AA5/AA132</f>
        <v>2700056.0873324457</v>
      </c>
      <c r="AB101" s="347">
        <f>AB133*AB5/AB132</f>
        <v>2610552.6183804804</v>
      </c>
      <c r="AC101" s="342">
        <f t="shared" ref="AC101:AC104" si="389">AB101</f>
        <v>2610552.6183804804</v>
      </c>
      <c r="AD101" s="347">
        <f>AD133*AD5/AD132</f>
        <v>2370659.1396647994</v>
      </c>
      <c r="AE101" s="347">
        <f>AE133*AE5/AE132</f>
        <v>2490974.6498048468</v>
      </c>
      <c r="AF101" s="347">
        <f>AF133*AF5/AF132</f>
        <v>2888548.7677842025</v>
      </c>
      <c r="AG101" s="347">
        <f>AG133*AG5/AG132</f>
        <v>2771614.4581824862</v>
      </c>
      <c r="AH101" s="342">
        <f t="shared" ref="AH101:AH104" si="390">AG101</f>
        <v>2771614.4581824862</v>
      </c>
      <c r="AI101" s="347">
        <f>AI133*AI5/AI132</f>
        <v>2524713.7755688848</v>
      </c>
      <c r="AJ101" s="347">
        <f>AJ133*AJ5/AJ132</f>
        <v>2691042.4922470134</v>
      </c>
      <c r="AK101" s="347">
        <f>AK133*AK5/AK132</f>
        <v>3128615.8293494843</v>
      </c>
      <c r="AL101" s="347">
        <f>AL133*AL5/AL132</f>
        <v>3013362.4659506921</v>
      </c>
      <c r="AM101" s="342">
        <f t="shared" ref="AM101:AM104" si="391">AL101</f>
        <v>3013362.4659506921</v>
      </c>
      <c r="AN101" s="347">
        <f>AN133*AN5/AN132</f>
        <v>2650842.7129100282</v>
      </c>
      <c r="AO101" s="347">
        <f>AO133*AO5/AO132</f>
        <v>2828331.4477576963</v>
      </c>
      <c r="AP101" s="347">
        <f>AP133*AP5/AP132</f>
        <v>3316934.4229542222</v>
      </c>
      <c r="AQ101" s="347">
        <f>AQ133*AQ5/AQ132</f>
        <v>3202839.4788344107</v>
      </c>
      <c r="AR101" s="342">
        <f t="shared" ref="AR101:AR104" si="392">AQ101</f>
        <v>3202839.4788344107</v>
      </c>
      <c r="AS101" s="347">
        <f>AS133*AS5/AS132</f>
        <v>2778320.4342328617</v>
      </c>
      <c r="AT101" s="347">
        <f>AT133*AT5/AT132</f>
        <v>2993904.8811435387</v>
      </c>
      <c r="AU101" s="347">
        <f>AU133*AU5/AU132</f>
        <v>3544897.2524066567</v>
      </c>
      <c r="AV101" s="347">
        <f>AV133*AV5/AV132</f>
        <v>3421216.7860414581</v>
      </c>
      <c r="AW101" s="342">
        <f t="shared" ref="AW101:AW104" si="393">AV101</f>
        <v>3421216.7860414581</v>
      </c>
      <c r="AX101" s="143"/>
      <c r="AY101" s="143"/>
      <c r="AZ101" s="143"/>
      <c r="BA101" s="143"/>
      <c r="BB101" s="143"/>
      <c r="BC101" s="143"/>
      <c r="BD101" s="143"/>
      <c r="BE101" s="143"/>
      <c r="BF101" s="143"/>
      <c r="BG101" s="143"/>
      <c r="BH101" s="143"/>
      <c r="BI101" s="143"/>
      <c r="BJ101" s="143"/>
      <c r="BK101" s="143"/>
      <c r="BL101" s="143"/>
      <c r="BM101" s="143"/>
      <c r="BN101" s="143"/>
      <c r="BO101" s="143"/>
      <c r="BP101" s="143"/>
    </row>
    <row r="102" spans="2:68">
      <c r="B102" s="143"/>
      <c r="C102" s="143"/>
      <c r="D102" s="143" t="s">
        <v>51</v>
      </c>
      <c r="E102" s="312">
        <v>3599008</v>
      </c>
      <c r="F102" s="312">
        <v>3510163</v>
      </c>
      <c r="G102" s="312">
        <v>3626640</v>
      </c>
      <c r="H102" s="312">
        <v>3559640</v>
      </c>
      <c r="I102" s="354">
        <f t="shared" si="385"/>
        <v>3559640</v>
      </c>
      <c r="J102" s="312">
        <v>3488752</v>
      </c>
      <c r="K102" s="312">
        <v>3413430</v>
      </c>
      <c r="L102" s="312">
        <v>3561326</v>
      </c>
      <c r="M102" s="312">
        <v>3490733</v>
      </c>
      <c r="N102" s="354">
        <f t="shared" si="386"/>
        <v>3490733</v>
      </c>
      <c r="O102" s="312">
        <v>3491656</v>
      </c>
      <c r="P102" s="312">
        <v>3594837</v>
      </c>
      <c r="Q102" s="312">
        <v>3562217</v>
      </c>
      <c r="R102" s="312">
        <v>3493617</v>
      </c>
      <c r="S102" s="354">
        <f t="shared" si="387"/>
        <v>3493617</v>
      </c>
      <c r="T102" s="312">
        <v>3396462</v>
      </c>
      <c r="U102" s="312">
        <v>3601175</v>
      </c>
      <c r="V102" s="312">
        <v>3773654</v>
      </c>
      <c r="W102" s="347">
        <f>W134*W6/W132</f>
        <v>3858023.4731943742</v>
      </c>
      <c r="X102" s="342">
        <f t="shared" si="388"/>
        <v>3858023.4731943742</v>
      </c>
      <c r="Y102" s="347">
        <f>Y134*Y6/Y132</f>
        <v>3631596.4776212783</v>
      </c>
      <c r="Z102" s="347">
        <f>Z134*Z6/Z132</f>
        <v>3863905.1441418375</v>
      </c>
      <c r="AA102" s="347">
        <f>AA134*AA6/AA132</f>
        <v>3888924.3579022256</v>
      </c>
      <c r="AB102" s="347">
        <f>AB134*AB6/AB132</f>
        <v>3914010.9105960475</v>
      </c>
      <c r="AC102" s="342">
        <f t="shared" si="389"/>
        <v>3914010.9105960475</v>
      </c>
      <c r="AD102" s="347">
        <f>AD134*AD6/AD132</f>
        <v>3831048.9959393376</v>
      </c>
      <c r="AE102" s="347">
        <f>AE134*AE6/AE132</f>
        <v>4088823.6841980903</v>
      </c>
      <c r="AF102" s="347">
        <f>AF134*AF6/AF132</f>
        <v>4204505.0688936897</v>
      </c>
      <c r="AG102" s="347">
        <f>AG134*AG6/AG132</f>
        <v>4295579.9489004724</v>
      </c>
      <c r="AH102" s="342">
        <f t="shared" si="390"/>
        <v>4295579.9489004724</v>
      </c>
      <c r="AI102" s="347">
        <f>AI134*AI6/AI132</f>
        <v>3999357.3923801095</v>
      </c>
      <c r="AJ102" s="347">
        <f>AJ134*AJ6/AJ132</f>
        <v>4323872.8702851506</v>
      </c>
      <c r="AK102" s="347">
        <f>AK134*AK6/AK132</f>
        <v>4509809.823187449</v>
      </c>
      <c r="AL102" s="347">
        <f>AL134*AL6/AL132</f>
        <v>4604051.5810213331</v>
      </c>
      <c r="AM102" s="342">
        <f t="shared" si="391"/>
        <v>4604051.5810213331</v>
      </c>
      <c r="AN102" s="347">
        <f>AN134*AN6/AN132</f>
        <v>4225957.4258410437</v>
      </c>
      <c r="AO102" s="347">
        <f>AO134*AO6/AO132</f>
        <v>4597930.3665638668</v>
      </c>
      <c r="AP102" s="347">
        <f>AP134*AP6/AP132</f>
        <v>4795527.1523681972</v>
      </c>
      <c r="AQ102" s="347">
        <f>AQ134*AQ6/AQ132</f>
        <v>4886304.8296098886</v>
      </c>
      <c r="AR102" s="342">
        <f t="shared" si="392"/>
        <v>4886304.8296098886</v>
      </c>
      <c r="AS102" s="347">
        <f>AS134*AS6/AS132</f>
        <v>4439849.8973680716</v>
      </c>
      <c r="AT102" s="347">
        <f>AT134*AT6/AT132</f>
        <v>4863675.5844040476</v>
      </c>
      <c r="AU102" s="347">
        <f>AU134*AU6/AU132</f>
        <v>5131518.9274285771</v>
      </c>
      <c r="AV102" s="347">
        <f>AV134*AV6/AV132</f>
        <v>5249490.5612909561</v>
      </c>
      <c r="AW102" s="342">
        <f t="shared" si="393"/>
        <v>5249490.5612909561</v>
      </c>
      <c r="AX102" s="143"/>
      <c r="AY102" s="143"/>
      <c r="AZ102" s="143"/>
      <c r="BA102" s="143"/>
      <c r="BB102" s="143"/>
      <c r="BC102" s="143"/>
      <c r="BD102" s="143"/>
      <c r="BE102" s="143"/>
      <c r="BF102" s="143"/>
      <c r="BG102" s="143"/>
      <c r="BH102" s="143"/>
      <c r="BI102" s="143"/>
      <c r="BJ102" s="143"/>
      <c r="BK102" s="143"/>
      <c r="BL102" s="143"/>
      <c r="BM102" s="143"/>
      <c r="BN102" s="143"/>
      <c r="BO102" s="143"/>
      <c r="BP102" s="143"/>
    </row>
    <row r="103" spans="2:68">
      <c r="B103" s="143"/>
      <c r="C103" s="143"/>
      <c r="D103" s="143" t="s">
        <v>52</v>
      </c>
      <c r="E103" s="312">
        <v>1509605</v>
      </c>
      <c r="F103" s="312">
        <v>1236948</v>
      </c>
      <c r="G103" s="312">
        <v>1211188</v>
      </c>
      <c r="H103" s="312">
        <v>1416586</v>
      </c>
      <c r="I103" s="354">
        <f t="shared" si="385"/>
        <v>1416586</v>
      </c>
      <c r="J103" s="312">
        <v>1286225</v>
      </c>
      <c r="K103" s="312">
        <v>1198131</v>
      </c>
      <c r="L103" s="312">
        <v>1208931</v>
      </c>
      <c r="M103" s="312">
        <v>1246768</v>
      </c>
      <c r="N103" s="354">
        <f t="shared" si="386"/>
        <v>1246768</v>
      </c>
      <c r="O103" s="312">
        <v>1171143</v>
      </c>
      <c r="P103" s="312">
        <v>1088844</v>
      </c>
      <c r="Q103" s="312">
        <v>1017954</v>
      </c>
      <c r="R103" s="312">
        <v>1100159</v>
      </c>
      <c r="S103" s="354">
        <f t="shared" si="387"/>
        <v>1100159</v>
      </c>
      <c r="T103" s="312">
        <v>967935</v>
      </c>
      <c r="U103" s="312">
        <v>1049092</v>
      </c>
      <c r="V103" s="312">
        <v>1091957</v>
      </c>
      <c r="W103" s="341">
        <f>V103</f>
        <v>1091957</v>
      </c>
      <c r="X103" s="342">
        <f t="shared" si="388"/>
        <v>1091957</v>
      </c>
      <c r="Y103" s="341">
        <f>X103</f>
        <v>1091957</v>
      </c>
      <c r="Z103" s="341">
        <f t="shared" ref="Z103:AB103" si="394">Y103</f>
        <v>1091957</v>
      </c>
      <c r="AA103" s="341">
        <f t="shared" si="394"/>
        <v>1091957</v>
      </c>
      <c r="AB103" s="341">
        <f t="shared" si="394"/>
        <v>1091957</v>
      </c>
      <c r="AC103" s="342">
        <f t="shared" si="389"/>
        <v>1091957</v>
      </c>
      <c r="AD103" s="341">
        <f>AC103</f>
        <v>1091957</v>
      </c>
      <c r="AE103" s="341">
        <f t="shared" ref="AE103:AG103" si="395">AD103</f>
        <v>1091957</v>
      </c>
      <c r="AF103" s="341">
        <f t="shared" si="395"/>
        <v>1091957</v>
      </c>
      <c r="AG103" s="341">
        <f t="shared" si="395"/>
        <v>1091957</v>
      </c>
      <c r="AH103" s="342">
        <f t="shared" si="390"/>
        <v>1091957</v>
      </c>
      <c r="AI103" s="341">
        <f>AH103</f>
        <v>1091957</v>
      </c>
      <c r="AJ103" s="341">
        <f t="shared" ref="AJ103:AL103" si="396">AI103</f>
        <v>1091957</v>
      </c>
      <c r="AK103" s="341">
        <f t="shared" si="396"/>
        <v>1091957</v>
      </c>
      <c r="AL103" s="341">
        <f t="shared" si="396"/>
        <v>1091957</v>
      </c>
      <c r="AM103" s="342">
        <f t="shared" si="391"/>
        <v>1091957</v>
      </c>
      <c r="AN103" s="341">
        <f>AM103</f>
        <v>1091957</v>
      </c>
      <c r="AO103" s="341">
        <f t="shared" ref="AO103:AQ103" si="397">AN103</f>
        <v>1091957</v>
      </c>
      <c r="AP103" s="341">
        <f t="shared" si="397"/>
        <v>1091957</v>
      </c>
      <c r="AQ103" s="341">
        <f t="shared" si="397"/>
        <v>1091957</v>
      </c>
      <c r="AR103" s="342">
        <f t="shared" si="392"/>
        <v>1091957</v>
      </c>
      <c r="AS103" s="341">
        <f>AR103</f>
        <v>1091957</v>
      </c>
      <c r="AT103" s="341">
        <f t="shared" ref="AT103:AV103" si="398">AS103</f>
        <v>1091957</v>
      </c>
      <c r="AU103" s="341">
        <f t="shared" si="398"/>
        <v>1091957</v>
      </c>
      <c r="AV103" s="341">
        <f t="shared" si="398"/>
        <v>1091957</v>
      </c>
      <c r="AW103" s="342">
        <f t="shared" si="393"/>
        <v>1091957</v>
      </c>
      <c r="AX103" s="143"/>
      <c r="AY103" s="143"/>
      <c r="AZ103" s="143"/>
      <c r="BA103" s="143"/>
      <c r="BB103" s="143"/>
      <c r="BC103" s="143"/>
      <c r="BD103" s="143"/>
      <c r="BE103" s="143"/>
      <c r="BF103" s="143"/>
      <c r="BG103" s="143"/>
      <c r="BH103" s="143"/>
      <c r="BI103" s="143"/>
      <c r="BJ103" s="143"/>
      <c r="BK103" s="143"/>
      <c r="BL103" s="143"/>
      <c r="BM103" s="143"/>
      <c r="BN103" s="143"/>
      <c r="BO103" s="143"/>
      <c r="BP103" s="143"/>
    </row>
    <row r="104" spans="2:68" s="71" customFormat="1">
      <c r="B104" s="146"/>
      <c r="C104" s="146"/>
      <c r="D104" s="153" t="s">
        <v>53</v>
      </c>
      <c r="E104" s="311">
        <f>SUM(E100:E103)</f>
        <v>9400326</v>
      </c>
      <c r="F104" s="311">
        <f>SUM(F100:F103)</f>
        <v>8989423</v>
      </c>
      <c r="G104" s="311">
        <f>SUM(G100:G103)</f>
        <v>8879060</v>
      </c>
      <c r="H104" s="311">
        <f>SUM(H100:H103)</f>
        <v>9133220</v>
      </c>
      <c r="I104" s="390">
        <f t="shared" si="385"/>
        <v>9133220</v>
      </c>
      <c r="J104" s="311">
        <f>SUM(J100:J103)</f>
        <v>8740900</v>
      </c>
      <c r="K104" s="311">
        <f>SUM(K100:K103)</f>
        <v>9080227</v>
      </c>
      <c r="L104" s="311">
        <f>SUM(L100:L103)</f>
        <v>8985494</v>
      </c>
      <c r="M104" s="311">
        <f>SUM(M100:M103)</f>
        <v>8956604</v>
      </c>
      <c r="N104" s="390">
        <f t="shared" si="386"/>
        <v>8956604</v>
      </c>
      <c r="O104" s="311">
        <f>SUM(O100:O103)</f>
        <v>8315126</v>
      </c>
      <c r="P104" s="311">
        <v>8420959</v>
      </c>
      <c r="Q104" s="311">
        <v>8458620</v>
      </c>
      <c r="R104" s="311">
        <v>8613622</v>
      </c>
      <c r="S104" s="390">
        <f t="shared" si="387"/>
        <v>8613622</v>
      </c>
      <c r="T104" s="311">
        <v>8387776</v>
      </c>
      <c r="U104" s="311">
        <v>8558309</v>
      </c>
      <c r="V104" s="311">
        <v>8868047</v>
      </c>
      <c r="W104" s="348">
        <f>SUM(W100:W103)</f>
        <v>9079374.3328354135</v>
      </c>
      <c r="X104" s="343">
        <f t="shared" si="388"/>
        <v>9079374.3328354135</v>
      </c>
      <c r="Y104" s="348">
        <f>SUM(Y100:Y103)</f>
        <v>8756166.644073192</v>
      </c>
      <c r="Z104" s="348">
        <f t="shared" ref="Z104:AB104" si="399">SUM(Z100:Z103)</f>
        <v>9162394.2683833223</v>
      </c>
      <c r="AA104" s="348">
        <f t="shared" si="399"/>
        <v>9644047.0377830416</v>
      </c>
      <c r="AB104" s="348">
        <f t="shared" si="399"/>
        <v>10044682.63639712</v>
      </c>
      <c r="AC104" s="343">
        <f t="shared" si="389"/>
        <v>10044682.63639712</v>
      </c>
      <c r="AD104" s="348">
        <f>SUM(AD100:AD103)</f>
        <v>9846168.2127258964</v>
      </c>
      <c r="AE104" s="348">
        <f t="shared" ref="AE104" si="400">SUM(AE100:AE103)</f>
        <v>10331275.443849152</v>
      </c>
      <c r="AF104" s="348">
        <f t="shared" ref="AF104" si="401">SUM(AF100:AF103)</f>
        <v>10937935.091513705</v>
      </c>
      <c r="AG104" s="348">
        <f t="shared" ref="AG104" si="402">SUM(AG100:AG103)</f>
        <v>11465579.539801452</v>
      </c>
      <c r="AH104" s="343">
        <f t="shared" si="390"/>
        <v>11465579.539801452</v>
      </c>
      <c r="AI104" s="348">
        <f>SUM(AI100:AI103)</f>
        <v>11083323.087269602</v>
      </c>
      <c r="AJ104" s="348">
        <f t="shared" ref="AJ104" si="403">SUM(AJ100:AJ103)</f>
        <v>11693347.930081394</v>
      </c>
      <c r="AK104" s="348">
        <f t="shared" ref="AK104" si="404">SUM(AK100:AK103)</f>
        <v>12448688.115488943</v>
      </c>
      <c r="AL104" s="348">
        <f t="shared" ref="AL104" si="405">SUM(AL100:AL103)</f>
        <v>12911662.313283416</v>
      </c>
      <c r="AM104" s="343">
        <f t="shared" si="391"/>
        <v>12911662.313283416</v>
      </c>
      <c r="AN104" s="348">
        <f>SUM(AN100:AN103)</f>
        <v>12380191.45368824</v>
      </c>
      <c r="AO104" s="348">
        <f t="shared" ref="AO104" si="406">SUM(AO100:AO103)</f>
        <v>13041081.028561287</v>
      </c>
      <c r="AP104" s="348">
        <f t="shared" ref="AP104" si="407">SUM(AP100:AP103)</f>
        <v>13853613.567959599</v>
      </c>
      <c r="AQ104" s="348">
        <f t="shared" ref="AQ104" si="408">SUM(AQ100:AQ103)</f>
        <v>14419110.617210224</v>
      </c>
      <c r="AR104" s="343">
        <f t="shared" si="392"/>
        <v>14419110.617210224</v>
      </c>
      <c r="AS104" s="348">
        <f>SUM(AS100:AS103)</f>
        <v>13792138.307523411</v>
      </c>
      <c r="AT104" s="348">
        <f t="shared" ref="AT104" si="409">SUM(AT100:AT103)</f>
        <v>14547732.020164279</v>
      </c>
      <c r="AU104" s="348">
        <f t="shared" ref="AU104" si="410">SUM(AU100:AU103)</f>
        <v>15489216.474573521</v>
      </c>
      <c r="AV104" s="348">
        <f t="shared" ref="AV104" si="411">SUM(AV100:AV103)</f>
        <v>16116725.073429082</v>
      </c>
      <c r="AW104" s="343">
        <f t="shared" si="393"/>
        <v>16116725.073429082</v>
      </c>
      <c r="AX104" s="146"/>
      <c r="AY104" s="146"/>
      <c r="AZ104" s="146"/>
      <c r="BA104" s="146"/>
      <c r="BB104" s="146"/>
      <c r="BC104" s="146"/>
      <c r="BD104" s="146"/>
      <c r="BE104" s="146"/>
      <c r="BF104" s="146"/>
      <c r="BG104" s="146"/>
      <c r="BH104" s="146"/>
      <c r="BI104" s="146"/>
      <c r="BJ104" s="146"/>
      <c r="BK104" s="146"/>
      <c r="BL104" s="146"/>
      <c r="BM104" s="146"/>
      <c r="BN104" s="146"/>
      <c r="BO104" s="146"/>
      <c r="BP104" s="146"/>
    </row>
    <row r="105" spans="2:68">
      <c r="B105" s="143"/>
      <c r="C105" s="143"/>
      <c r="D105" s="143"/>
      <c r="E105" s="151"/>
      <c r="F105" s="151"/>
      <c r="G105" s="151"/>
      <c r="H105" s="151"/>
      <c r="I105" s="148"/>
      <c r="J105" s="151"/>
      <c r="K105" s="151"/>
      <c r="L105" s="151"/>
      <c r="M105" s="151"/>
      <c r="N105" s="148"/>
      <c r="O105" s="151"/>
      <c r="P105" s="151"/>
      <c r="Q105" s="151"/>
      <c r="R105" s="151"/>
      <c r="S105" s="148"/>
      <c r="T105" s="151"/>
      <c r="U105" s="151"/>
      <c r="V105" s="151"/>
      <c r="W105" s="184"/>
      <c r="X105" s="342"/>
      <c r="Y105" s="184"/>
      <c r="Z105" s="184"/>
      <c r="AA105" s="184"/>
      <c r="AB105" s="184"/>
      <c r="AC105" s="194"/>
      <c r="AD105" s="184"/>
      <c r="AE105" s="184"/>
      <c r="AF105" s="184"/>
      <c r="AG105" s="184"/>
      <c r="AH105" s="194"/>
      <c r="AI105" s="184"/>
      <c r="AJ105" s="184"/>
      <c r="AK105" s="184"/>
      <c r="AL105" s="184"/>
      <c r="AM105" s="194"/>
      <c r="AN105" s="184"/>
      <c r="AO105" s="184"/>
      <c r="AP105" s="184"/>
      <c r="AQ105" s="184"/>
      <c r="AR105" s="194"/>
      <c r="AS105" s="184"/>
      <c r="AT105" s="184"/>
      <c r="AU105" s="184"/>
      <c r="AV105" s="184"/>
      <c r="AW105" s="194"/>
      <c r="AX105" s="143"/>
      <c r="AY105" s="143"/>
      <c r="AZ105" s="143"/>
      <c r="BA105" s="143"/>
      <c r="BB105" s="143"/>
      <c r="BC105" s="143"/>
      <c r="BD105" s="143"/>
      <c r="BE105" s="143"/>
      <c r="BF105" s="143"/>
      <c r="BG105" s="143"/>
      <c r="BH105" s="143"/>
      <c r="BI105" s="143"/>
      <c r="BJ105" s="143"/>
      <c r="BK105" s="143"/>
      <c r="BL105" s="143"/>
      <c r="BM105" s="143"/>
      <c r="BN105" s="143"/>
      <c r="BO105" s="143"/>
      <c r="BP105" s="143"/>
    </row>
    <row r="106" spans="2:68">
      <c r="B106" s="143"/>
      <c r="C106" s="143"/>
      <c r="D106" s="143" t="s">
        <v>54</v>
      </c>
      <c r="E106" s="312">
        <v>2288656</v>
      </c>
      <c r="F106" s="312">
        <v>2254664</v>
      </c>
      <c r="G106" s="312">
        <v>2193966</v>
      </c>
      <c r="H106" s="312">
        <v>2114681</v>
      </c>
      <c r="I106" s="354">
        <f t="shared" si="385"/>
        <v>2114681</v>
      </c>
      <c r="J106" s="312">
        <v>2092167</v>
      </c>
      <c r="K106" s="312">
        <v>2143221</v>
      </c>
      <c r="L106" s="312">
        <v>2218030</v>
      </c>
      <c r="M106" s="312">
        <v>2239921</v>
      </c>
      <c r="N106" s="354">
        <f t="shared" si="386"/>
        <v>2239921</v>
      </c>
      <c r="O106" s="312">
        <v>2257633</v>
      </c>
      <c r="P106" s="312">
        <v>2296445</v>
      </c>
      <c r="Q106" s="312">
        <v>2335959</v>
      </c>
      <c r="R106" s="312">
        <v>2321536</v>
      </c>
      <c r="S106" s="354">
        <f>R106</f>
        <v>2321536</v>
      </c>
      <c r="T106" s="312">
        <v>2317026</v>
      </c>
      <c r="U106" s="312">
        <v>2346440</v>
      </c>
      <c r="V106" s="312">
        <v>2415574</v>
      </c>
      <c r="W106" s="347">
        <f>V106-W154-W137*W5</f>
        <v>2376043.0384494336</v>
      </c>
      <c r="X106" s="342">
        <f>W106</f>
        <v>2376043.0384494336</v>
      </c>
      <c r="Y106" s="347">
        <f>X106-Y154-Y137*Y5</f>
        <v>2335384.783154279</v>
      </c>
      <c r="Z106" s="347">
        <f>Y106-Z154-Z137*Z5</f>
        <v>2354463.6246427558</v>
      </c>
      <c r="AA106" s="347">
        <f>Z106-AA154-AA137*AA5</f>
        <v>2363913.4943994391</v>
      </c>
      <c r="AB106" s="347">
        <f>AA106-AB154-AB137*AB5</f>
        <v>2296514.9338559862</v>
      </c>
      <c r="AC106" s="342">
        <f>AB106</f>
        <v>2296514.9338559862</v>
      </c>
      <c r="AD106" s="347">
        <f>AC106-AD154-AD137*AD5</f>
        <v>2255362.3994105658</v>
      </c>
      <c r="AE106" s="347">
        <f>AD106-AE154-AE137*AE5</f>
        <v>2270954.2893654397</v>
      </c>
      <c r="AF106" s="347">
        <f>AE106-AF154-AF137*AF5</f>
        <v>2305204.0236490541</v>
      </c>
      <c r="AG106" s="347">
        <f>AF106-AG154-AG137*AG5</f>
        <v>2219649.80107238</v>
      </c>
      <c r="AH106" s="342">
        <f>AG106</f>
        <v>2219649.80107238</v>
      </c>
      <c r="AI106" s="347">
        <f>AH106-AI154-AI137*AI5</f>
        <v>2178117.6467955317</v>
      </c>
      <c r="AJ106" s="347">
        <f>AI106-AJ154-AJ137*AJ5</f>
        <v>2188192.9723795545</v>
      </c>
      <c r="AK106" s="347">
        <f>AJ106-AK154-AK137*AK5</f>
        <v>2206388.8033342054</v>
      </c>
      <c r="AL106" s="347">
        <f>AK106-AL154-AL137*AL5</f>
        <v>2133956.9937113118</v>
      </c>
      <c r="AM106" s="342">
        <f>AL106</f>
        <v>2133956.9937113118</v>
      </c>
      <c r="AN106" s="347">
        <f>AM106-AN154-AN137*AN5</f>
        <v>2088424.2751569028</v>
      </c>
      <c r="AO106" s="347">
        <f>AN106-AO154-AO137*AO5</f>
        <v>2105417.8395586996</v>
      </c>
      <c r="AP106" s="347">
        <f>AO106-AP154-AP137*AP5</f>
        <v>2128814.1653742273</v>
      </c>
      <c r="AQ106" s="347">
        <f>AP106-AQ154-AQ137*AQ5</f>
        <v>2042688.2009178398</v>
      </c>
      <c r="AR106" s="342">
        <f>AQ106</f>
        <v>2042688.2009178398</v>
      </c>
      <c r="AS106" s="347">
        <f>AR106-AS154-AS137*AS5</f>
        <v>1995474.0021756189</v>
      </c>
      <c r="AT106" s="347">
        <f>AS106-AT154-AT137*AT5</f>
        <v>2011430.6334498683</v>
      </c>
      <c r="AU106" s="347">
        <f>AT106-AU154-AU137*AU5</f>
        <v>2040608.0007683355</v>
      </c>
      <c r="AV106" s="347">
        <f>AU106-AV154-AV137*AV5</f>
        <v>1947385.6266932194</v>
      </c>
      <c r="AW106" s="342">
        <f>AV106</f>
        <v>1947385.6266932194</v>
      </c>
      <c r="AX106" s="143"/>
      <c r="AY106" s="143"/>
      <c r="AZ106" s="143"/>
      <c r="BA106" s="143"/>
      <c r="BB106" s="143"/>
      <c r="BC106" s="143"/>
      <c r="BD106" s="143"/>
      <c r="BE106" s="143"/>
      <c r="BF106" s="143"/>
      <c r="BG106" s="143"/>
      <c r="BH106" s="143"/>
      <c r="BI106" s="143"/>
      <c r="BJ106" s="143"/>
      <c r="BK106" s="143"/>
      <c r="BL106" s="143"/>
      <c r="BM106" s="143"/>
      <c r="BN106" s="143"/>
      <c r="BO106" s="143"/>
      <c r="BP106" s="143"/>
    </row>
    <row r="107" spans="2:68">
      <c r="B107" s="143"/>
      <c r="C107" s="143"/>
      <c r="D107" s="143" t="s">
        <v>72</v>
      </c>
      <c r="E107" s="312">
        <v>377218</v>
      </c>
      <c r="F107" s="312">
        <v>389369</v>
      </c>
      <c r="G107" s="312">
        <v>413237</v>
      </c>
      <c r="H107" s="312">
        <v>417532</v>
      </c>
      <c r="I107" s="354">
        <f t="shared" si="385"/>
        <v>417532</v>
      </c>
      <c r="J107" s="312">
        <v>415175</v>
      </c>
      <c r="K107" s="312">
        <v>428286</v>
      </c>
      <c r="L107" s="312">
        <v>981838</v>
      </c>
      <c r="M107" s="312">
        <v>1317017</v>
      </c>
      <c r="N107" s="354">
        <f t="shared" si="386"/>
        <v>1317017</v>
      </c>
      <c r="O107" s="312">
        <v>942066</v>
      </c>
      <c r="P107" s="312">
        <v>1324614</v>
      </c>
      <c r="Q107" s="312">
        <v>1395763</v>
      </c>
      <c r="R107" s="312">
        <v>1337321</v>
      </c>
      <c r="S107" s="354">
        <f>R107</f>
        <v>1337321</v>
      </c>
      <c r="T107" s="312">
        <v>984867</v>
      </c>
      <c r="U107" s="312">
        <v>1039069</v>
      </c>
      <c r="V107" s="312">
        <v>1086978</v>
      </c>
      <c r="W107" s="341">
        <f>V107</f>
        <v>1086978</v>
      </c>
      <c r="X107" s="342">
        <f t="shared" ref="X107:X109" si="412">W107</f>
        <v>1086978</v>
      </c>
      <c r="Y107" s="341">
        <f>X107</f>
        <v>1086978</v>
      </c>
      <c r="Z107" s="341">
        <f t="shared" ref="Z107:AC109" si="413">Y107</f>
        <v>1086978</v>
      </c>
      <c r="AA107" s="341">
        <f t="shared" si="413"/>
        <v>1086978</v>
      </c>
      <c r="AB107" s="341">
        <f t="shared" si="413"/>
        <v>1086978</v>
      </c>
      <c r="AC107" s="342">
        <f t="shared" si="413"/>
        <v>1086978</v>
      </c>
      <c r="AD107" s="341">
        <f>AC107</f>
        <v>1086978</v>
      </c>
      <c r="AE107" s="341">
        <f t="shared" ref="AE107:AH107" si="414">AD107</f>
        <v>1086978</v>
      </c>
      <c r="AF107" s="341">
        <f t="shared" si="414"/>
        <v>1086978</v>
      </c>
      <c r="AG107" s="341">
        <f t="shared" si="414"/>
        <v>1086978</v>
      </c>
      <c r="AH107" s="342">
        <f t="shared" si="414"/>
        <v>1086978</v>
      </c>
      <c r="AI107" s="341">
        <f>AH107</f>
        <v>1086978</v>
      </c>
      <c r="AJ107" s="341">
        <f t="shared" ref="AJ107:AM109" si="415">AI107</f>
        <v>1086978</v>
      </c>
      <c r="AK107" s="341">
        <f t="shared" si="415"/>
        <v>1086978</v>
      </c>
      <c r="AL107" s="341">
        <f t="shared" si="415"/>
        <v>1086978</v>
      </c>
      <c r="AM107" s="342">
        <f t="shared" si="415"/>
        <v>1086978</v>
      </c>
      <c r="AN107" s="341">
        <f>AM107</f>
        <v>1086978</v>
      </c>
      <c r="AO107" s="341">
        <f t="shared" ref="AO107:AR107" si="416">AN107</f>
        <v>1086978</v>
      </c>
      <c r="AP107" s="341">
        <f t="shared" si="416"/>
        <v>1086978</v>
      </c>
      <c r="AQ107" s="341">
        <f t="shared" si="416"/>
        <v>1086978</v>
      </c>
      <c r="AR107" s="342">
        <f t="shared" si="416"/>
        <v>1086978</v>
      </c>
      <c r="AS107" s="341">
        <f>AR107</f>
        <v>1086978</v>
      </c>
      <c r="AT107" s="341">
        <f t="shared" ref="AT107:AW109" si="417">AS107</f>
        <v>1086978</v>
      </c>
      <c r="AU107" s="341">
        <f t="shared" si="417"/>
        <v>1086978</v>
      </c>
      <c r="AV107" s="341">
        <f t="shared" si="417"/>
        <v>1086978</v>
      </c>
      <c r="AW107" s="342">
        <f t="shared" si="417"/>
        <v>1086978</v>
      </c>
      <c r="AX107" s="143"/>
      <c r="AY107" s="143"/>
      <c r="AZ107" s="143"/>
      <c r="BA107" s="143"/>
      <c r="BB107" s="143"/>
      <c r="BC107" s="143"/>
      <c r="BD107" s="143"/>
      <c r="BE107" s="143"/>
      <c r="BF107" s="143"/>
      <c r="BG107" s="143"/>
      <c r="BH107" s="143"/>
      <c r="BI107" s="143"/>
      <c r="BJ107" s="143"/>
      <c r="BK107" s="143"/>
      <c r="BL107" s="143"/>
      <c r="BM107" s="143"/>
      <c r="BN107" s="143"/>
      <c r="BO107" s="143"/>
      <c r="BP107" s="143"/>
    </row>
    <row r="108" spans="2:68">
      <c r="B108" s="143"/>
      <c r="C108" s="143"/>
      <c r="D108" s="143" t="s">
        <v>73</v>
      </c>
      <c r="E108" s="312" t="s">
        <v>74</v>
      </c>
      <c r="F108" s="312" t="s">
        <v>74</v>
      </c>
      <c r="G108" s="312" t="s">
        <v>74</v>
      </c>
      <c r="H108" s="312" t="s">
        <v>74</v>
      </c>
      <c r="I108" s="148" t="s">
        <v>74</v>
      </c>
      <c r="J108" s="312" t="s">
        <v>74</v>
      </c>
      <c r="K108" s="312" t="s">
        <v>74</v>
      </c>
      <c r="L108" s="312" t="s">
        <v>74</v>
      </c>
      <c r="M108" s="312" t="s">
        <v>74</v>
      </c>
      <c r="N108" s="148" t="s">
        <v>74</v>
      </c>
      <c r="O108" s="312">
        <v>403754</v>
      </c>
      <c r="P108" s="312" t="s">
        <v>74</v>
      </c>
      <c r="Q108" s="312" t="s">
        <v>74</v>
      </c>
      <c r="R108" s="312" t="s">
        <v>74</v>
      </c>
      <c r="S108" s="148" t="s">
        <v>74</v>
      </c>
      <c r="T108" s="312">
        <v>362181</v>
      </c>
      <c r="U108" s="312">
        <v>453957</v>
      </c>
      <c r="V108" s="312">
        <v>420459</v>
      </c>
      <c r="W108" s="341">
        <f t="shared" ref="W108:Y109" si="418">V108</f>
        <v>420459</v>
      </c>
      <c r="X108" s="342">
        <f t="shared" si="412"/>
        <v>420459</v>
      </c>
      <c r="Y108" s="341">
        <f t="shared" si="418"/>
        <v>420459</v>
      </c>
      <c r="Z108" s="341">
        <f t="shared" si="413"/>
        <v>420459</v>
      </c>
      <c r="AA108" s="341">
        <f t="shared" si="413"/>
        <v>420459</v>
      </c>
      <c r="AB108" s="341">
        <f t="shared" si="413"/>
        <v>420459</v>
      </c>
      <c r="AC108" s="342">
        <f t="shared" si="413"/>
        <v>420459</v>
      </c>
      <c r="AD108" s="341">
        <f t="shared" ref="AD108:AH109" si="419">AC108</f>
        <v>420459</v>
      </c>
      <c r="AE108" s="341">
        <f t="shared" si="419"/>
        <v>420459</v>
      </c>
      <c r="AF108" s="341">
        <f t="shared" si="419"/>
        <v>420459</v>
      </c>
      <c r="AG108" s="341">
        <f t="shared" si="419"/>
        <v>420459</v>
      </c>
      <c r="AH108" s="342">
        <f t="shared" si="419"/>
        <v>420459</v>
      </c>
      <c r="AI108" s="341">
        <f t="shared" ref="AI108:AI109" si="420">AH108</f>
        <v>420459</v>
      </c>
      <c r="AJ108" s="341">
        <f t="shared" si="415"/>
        <v>420459</v>
      </c>
      <c r="AK108" s="341">
        <f t="shared" si="415"/>
        <v>420459</v>
      </c>
      <c r="AL108" s="341">
        <f t="shared" si="415"/>
        <v>420459</v>
      </c>
      <c r="AM108" s="342">
        <f t="shared" si="415"/>
        <v>420459</v>
      </c>
      <c r="AN108" s="341">
        <f t="shared" ref="AN108:AR109" si="421">AM108</f>
        <v>420459</v>
      </c>
      <c r="AO108" s="341">
        <f t="shared" si="421"/>
        <v>420459</v>
      </c>
      <c r="AP108" s="341">
        <f t="shared" si="421"/>
        <v>420459</v>
      </c>
      <c r="AQ108" s="341">
        <f t="shared" si="421"/>
        <v>420459</v>
      </c>
      <c r="AR108" s="342">
        <f t="shared" si="421"/>
        <v>420459</v>
      </c>
      <c r="AS108" s="341">
        <f t="shared" ref="AS108:AS109" si="422">AR108</f>
        <v>420459</v>
      </c>
      <c r="AT108" s="341">
        <f t="shared" si="417"/>
        <v>420459</v>
      </c>
      <c r="AU108" s="341">
        <f t="shared" si="417"/>
        <v>420459</v>
      </c>
      <c r="AV108" s="341">
        <f t="shared" si="417"/>
        <v>420459</v>
      </c>
      <c r="AW108" s="342">
        <f t="shared" si="417"/>
        <v>420459</v>
      </c>
      <c r="AX108" s="143"/>
      <c r="AY108" s="143"/>
      <c r="AZ108" s="143"/>
      <c r="BA108" s="143"/>
      <c r="BB108" s="143"/>
      <c r="BC108" s="143"/>
      <c r="BD108" s="143"/>
      <c r="BE108" s="143"/>
      <c r="BF108" s="143"/>
      <c r="BG108" s="143"/>
      <c r="BH108" s="143"/>
      <c r="BI108" s="143"/>
      <c r="BJ108" s="143"/>
      <c r="BK108" s="143"/>
      <c r="BL108" s="143"/>
      <c r="BM108" s="143"/>
      <c r="BN108" s="143"/>
      <c r="BO108" s="143"/>
      <c r="BP108" s="143"/>
    </row>
    <row r="109" spans="2:68">
      <c r="B109" s="143"/>
      <c r="C109" s="143"/>
      <c r="D109" s="143" t="s">
        <v>55</v>
      </c>
      <c r="E109" s="312">
        <v>433950</v>
      </c>
      <c r="F109" s="312">
        <v>434368</v>
      </c>
      <c r="G109" s="312">
        <v>433610</v>
      </c>
      <c r="H109" s="312">
        <v>425040</v>
      </c>
      <c r="I109" s="354">
        <f t="shared" si="385"/>
        <v>425040</v>
      </c>
      <c r="J109" s="312">
        <v>417382</v>
      </c>
      <c r="K109" s="312">
        <v>448446</v>
      </c>
      <c r="L109" s="312">
        <v>474977</v>
      </c>
      <c r="M109" s="312">
        <v>535976</v>
      </c>
      <c r="N109" s="354">
        <f t="shared" si="386"/>
        <v>535976</v>
      </c>
      <c r="O109" s="312">
        <v>466402</v>
      </c>
      <c r="P109" s="312">
        <v>466506</v>
      </c>
      <c r="Q109" s="312">
        <v>470792</v>
      </c>
      <c r="R109" s="312">
        <v>530570</v>
      </c>
      <c r="S109" s="354">
        <f>R109</f>
        <v>530570</v>
      </c>
      <c r="T109" s="312">
        <v>541513</v>
      </c>
      <c r="U109" s="312">
        <v>619213</v>
      </c>
      <c r="V109" s="312">
        <v>770848</v>
      </c>
      <c r="W109" s="341">
        <f t="shared" si="418"/>
        <v>770848</v>
      </c>
      <c r="X109" s="342">
        <f t="shared" si="412"/>
        <v>770848</v>
      </c>
      <c r="Y109" s="341">
        <f t="shared" si="418"/>
        <v>770848</v>
      </c>
      <c r="Z109" s="341">
        <f t="shared" si="413"/>
        <v>770848</v>
      </c>
      <c r="AA109" s="341">
        <f t="shared" si="413"/>
        <v>770848</v>
      </c>
      <c r="AB109" s="341">
        <f t="shared" si="413"/>
        <v>770848</v>
      </c>
      <c r="AC109" s="342">
        <f t="shared" si="413"/>
        <v>770848</v>
      </c>
      <c r="AD109" s="341">
        <f t="shared" si="419"/>
        <v>770848</v>
      </c>
      <c r="AE109" s="341">
        <f t="shared" si="419"/>
        <v>770848</v>
      </c>
      <c r="AF109" s="341">
        <f t="shared" si="419"/>
        <v>770848</v>
      </c>
      <c r="AG109" s="341">
        <f t="shared" si="419"/>
        <v>770848</v>
      </c>
      <c r="AH109" s="342">
        <f t="shared" si="419"/>
        <v>770848</v>
      </c>
      <c r="AI109" s="341">
        <f t="shared" si="420"/>
        <v>770848</v>
      </c>
      <c r="AJ109" s="341">
        <f t="shared" si="415"/>
        <v>770848</v>
      </c>
      <c r="AK109" s="341">
        <f t="shared" si="415"/>
        <v>770848</v>
      </c>
      <c r="AL109" s="341">
        <f t="shared" si="415"/>
        <v>770848</v>
      </c>
      <c r="AM109" s="342">
        <f t="shared" si="415"/>
        <v>770848</v>
      </c>
      <c r="AN109" s="341">
        <f t="shared" si="421"/>
        <v>770848</v>
      </c>
      <c r="AO109" s="341">
        <f t="shared" si="421"/>
        <v>770848</v>
      </c>
      <c r="AP109" s="341">
        <f t="shared" si="421"/>
        <v>770848</v>
      </c>
      <c r="AQ109" s="341">
        <f t="shared" si="421"/>
        <v>770848</v>
      </c>
      <c r="AR109" s="342">
        <f t="shared" si="421"/>
        <v>770848</v>
      </c>
      <c r="AS109" s="341">
        <f t="shared" si="422"/>
        <v>770848</v>
      </c>
      <c r="AT109" s="341">
        <f t="shared" si="417"/>
        <v>770848</v>
      </c>
      <c r="AU109" s="341">
        <f t="shared" si="417"/>
        <v>770848</v>
      </c>
      <c r="AV109" s="341">
        <f t="shared" si="417"/>
        <v>770848</v>
      </c>
      <c r="AW109" s="342">
        <f t="shared" si="417"/>
        <v>770848</v>
      </c>
      <c r="AX109" s="143"/>
      <c r="AY109" s="143"/>
      <c r="AZ109" s="143"/>
      <c r="BA109" s="143"/>
      <c r="BB109" s="143"/>
      <c r="BC109" s="143"/>
      <c r="BD109" s="143"/>
      <c r="BE109" s="143"/>
      <c r="BF109" s="143"/>
      <c r="BG109" s="143"/>
      <c r="BH109" s="143"/>
      <c r="BI109" s="143"/>
      <c r="BJ109" s="143"/>
      <c r="BK109" s="143"/>
      <c r="BL109" s="143"/>
      <c r="BM109" s="143"/>
      <c r="BN109" s="143"/>
      <c r="BO109" s="143"/>
      <c r="BP109" s="143"/>
    </row>
    <row r="110" spans="2:68" s="71" customFormat="1">
      <c r="B110" s="146"/>
      <c r="C110" s="146"/>
      <c r="D110" s="153" t="s">
        <v>56</v>
      </c>
      <c r="E110" s="311">
        <f>E104+SUM(E106:E109)</f>
        <v>12500150</v>
      </c>
      <c r="F110" s="311">
        <f>F104+SUM(F106:F109)</f>
        <v>12067824</v>
      </c>
      <c r="G110" s="311">
        <f>G104+SUM(G106:G109)</f>
        <v>11919873</v>
      </c>
      <c r="H110" s="311">
        <f>H104+SUM(H106:H109)</f>
        <v>12090473</v>
      </c>
      <c r="I110" s="390">
        <f t="shared" si="385"/>
        <v>12090473</v>
      </c>
      <c r="J110" s="311">
        <f>J104+SUM(J106:J109)</f>
        <v>11665624</v>
      </c>
      <c r="K110" s="311">
        <f>K104+SUM(K106:K109)</f>
        <v>12100180</v>
      </c>
      <c r="L110" s="311">
        <f>L104+SUM(L106:L109)</f>
        <v>12660339</v>
      </c>
      <c r="M110" s="311">
        <f>M104+SUM(M106:M109)</f>
        <v>13049518</v>
      </c>
      <c r="N110" s="390">
        <f>M110</f>
        <v>13049518</v>
      </c>
      <c r="O110" s="311">
        <f>SUM(O106:O109)+O104</f>
        <v>12384981</v>
      </c>
      <c r="P110" s="311">
        <f t="shared" ref="P110:W110" si="423">SUM(P106:P109)+P104</f>
        <v>12508524</v>
      </c>
      <c r="Q110" s="311">
        <f t="shared" si="423"/>
        <v>12661134</v>
      </c>
      <c r="R110" s="311">
        <f t="shared" si="423"/>
        <v>12803049</v>
      </c>
      <c r="S110" s="390">
        <f>R110</f>
        <v>12803049</v>
      </c>
      <c r="T110" s="311">
        <f t="shared" si="423"/>
        <v>12593363</v>
      </c>
      <c r="U110" s="311">
        <f t="shared" si="423"/>
        <v>13016988</v>
      </c>
      <c r="V110" s="311">
        <f t="shared" si="423"/>
        <v>13561906</v>
      </c>
      <c r="W110" s="348">
        <f t="shared" si="423"/>
        <v>13733702.371284846</v>
      </c>
      <c r="X110" s="343">
        <f>W110</f>
        <v>13733702.371284846</v>
      </c>
      <c r="Y110" s="348">
        <f t="shared" ref="Y110:AB110" si="424">SUM(Y106:Y109)+Y104</f>
        <v>13369836.427227471</v>
      </c>
      <c r="Z110" s="348">
        <f t="shared" si="424"/>
        <v>13795142.893026078</v>
      </c>
      <c r="AA110" s="348">
        <f t="shared" si="424"/>
        <v>14286245.532182481</v>
      </c>
      <c r="AB110" s="348">
        <f t="shared" si="424"/>
        <v>14619482.570253106</v>
      </c>
      <c r="AC110" s="343">
        <f>AB110</f>
        <v>14619482.570253106</v>
      </c>
      <c r="AD110" s="348">
        <f t="shared" ref="AD110:AG110" si="425">SUM(AD106:AD109)+AD104</f>
        <v>14379815.612136463</v>
      </c>
      <c r="AE110" s="348">
        <f t="shared" si="425"/>
        <v>14880514.733214591</v>
      </c>
      <c r="AF110" s="348">
        <f t="shared" si="425"/>
        <v>15521424.115162758</v>
      </c>
      <c r="AG110" s="348">
        <f t="shared" si="425"/>
        <v>15963514.340873832</v>
      </c>
      <c r="AH110" s="343">
        <f>AG110</f>
        <v>15963514.340873832</v>
      </c>
      <c r="AI110" s="348">
        <f t="shared" ref="AI110:AL110" si="426">SUM(AI106:AI109)+AI104</f>
        <v>15539725.734065134</v>
      </c>
      <c r="AJ110" s="348">
        <f t="shared" si="426"/>
        <v>16159825.902460948</v>
      </c>
      <c r="AK110" s="348">
        <f t="shared" si="426"/>
        <v>16933361.918823149</v>
      </c>
      <c r="AL110" s="348">
        <f t="shared" si="426"/>
        <v>17323904.306994729</v>
      </c>
      <c r="AM110" s="343">
        <f>AL110</f>
        <v>17323904.306994729</v>
      </c>
      <c r="AN110" s="348">
        <f t="shared" ref="AN110:AQ110" si="427">SUM(AN106:AN109)+AN104</f>
        <v>16746900.728845142</v>
      </c>
      <c r="AO110" s="348">
        <f t="shared" si="427"/>
        <v>17424783.868119985</v>
      </c>
      <c r="AP110" s="348">
        <f t="shared" si="427"/>
        <v>18260712.733333826</v>
      </c>
      <c r="AQ110" s="348">
        <f t="shared" si="427"/>
        <v>18740083.818128064</v>
      </c>
      <c r="AR110" s="343">
        <f>AQ110</f>
        <v>18740083.818128064</v>
      </c>
      <c r="AS110" s="348">
        <f t="shared" ref="AS110:AV110" si="428">SUM(AS106:AS109)+AS104</f>
        <v>18065897.309699029</v>
      </c>
      <c r="AT110" s="348">
        <f t="shared" si="428"/>
        <v>18837447.653614148</v>
      </c>
      <c r="AU110" s="348">
        <f t="shared" si="428"/>
        <v>19808109.475341856</v>
      </c>
      <c r="AV110" s="348">
        <f t="shared" si="428"/>
        <v>20342395.700122301</v>
      </c>
      <c r="AW110" s="343">
        <f>AV110</f>
        <v>20342395.700122301</v>
      </c>
      <c r="AX110" s="146"/>
      <c r="AY110" s="146"/>
      <c r="AZ110" s="146"/>
      <c r="BA110" s="146"/>
      <c r="BB110" s="146"/>
      <c r="BC110" s="146"/>
      <c r="BD110" s="146"/>
      <c r="BE110" s="146"/>
      <c r="BF110" s="146"/>
      <c r="BG110" s="146"/>
      <c r="BH110" s="146"/>
      <c r="BI110" s="146"/>
      <c r="BJ110" s="146"/>
      <c r="BK110" s="146"/>
      <c r="BL110" s="146"/>
      <c r="BM110" s="146"/>
      <c r="BN110" s="146"/>
      <c r="BO110" s="146"/>
      <c r="BP110" s="146"/>
    </row>
    <row r="111" spans="2:68">
      <c r="B111" s="143"/>
      <c r="C111" s="143"/>
      <c r="D111" s="143"/>
      <c r="E111" s="151"/>
      <c r="F111" s="151"/>
      <c r="G111" s="151"/>
      <c r="H111" s="151"/>
      <c r="I111" s="148"/>
      <c r="J111" s="151"/>
      <c r="K111" s="151"/>
      <c r="L111" s="151"/>
      <c r="M111" s="151"/>
      <c r="N111" s="148"/>
      <c r="O111" s="151"/>
      <c r="P111" s="151"/>
      <c r="Q111" s="151"/>
      <c r="R111" s="151"/>
      <c r="S111" s="148"/>
      <c r="T111" s="151"/>
      <c r="U111" s="151"/>
      <c r="V111" s="151"/>
      <c r="W111" s="184"/>
      <c r="X111" s="342"/>
      <c r="Y111" s="184"/>
      <c r="Z111" s="184"/>
      <c r="AA111" s="184"/>
      <c r="AB111" s="184"/>
      <c r="AC111" s="194"/>
      <c r="AD111" s="184"/>
      <c r="AE111" s="184"/>
      <c r="AF111" s="184"/>
      <c r="AG111" s="184"/>
      <c r="AH111" s="194"/>
      <c r="AI111" s="184"/>
      <c r="AJ111" s="184"/>
      <c r="AK111" s="184"/>
      <c r="AL111" s="184"/>
      <c r="AM111" s="194"/>
      <c r="AN111" s="184"/>
      <c r="AO111" s="184"/>
      <c r="AP111" s="184"/>
      <c r="AQ111" s="184"/>
      <c r="AR111" s="194"/>
      <c r="AS111" s="184"/>
      <c r="AT111" s="184"/>
      <c r="AU111" s="184"/>
      <c r="AV111" s="184"/>
      <c r="AW111" s="194"/>
      <c r="AX111" s="143"/>
      <c r="AY111" s="143"/>
      <c r="AZ111" s="143"/>
      <c r="BA111" s="143"/>
      <c r="BB111" s="143"/>
      <c r="BC111" s="143"/>
      <c r="BD111" s="143"/>
      <c r="BE111" s="143"/>
      <c r="BF111" s="143"/>
      <c r="BG111" s="143"/>
      <c r="BH111" s="143"/>
      <c r="BI111" s="143"/>
      <c r="BJ111" s="143"/>
      <c r="BK111" s="143"/>
      <c r="BL111" s="143"/>
      <c r="BM111" s="143"/>
      <c r="BN111" s="143"/>
      <c r="BO111" s="143"/>
      <c r="BP111" s="143"/>
    </row>
    <row r="112" spans="2:68">
      <c r="B112" s="143"/>
      <c r="C112" s="143"/>
      <c r="D112" s="143" t="s">
        <v>57</v>
      </c>
      <c r="E112" s="312">
        <v>32575</v>
      </c>
      <c r="F112" s="312">
        <v>55338</v>
      </c>
      <c r="G112" s="312">
        <v>45579</v>
      </c>
      <c r="H112" s="312">
        <v>45174</v>
      </c>
      <c r="I112" s="354">
        <f t="shared" si="385"/>
        <v>45174</v>
      </c>
      <c r="J112" s="312">
        <v>46162</v>
      </c>
      <c r="K112" s="312">
        <v>44927</v>
      </c>
      <c r="L112" s="312">
        <v>47972</v>
      </c>
      <c r="M112" s="312">
        <v>65536</v>
      </c>
      <c r="N112" s="354">
        <f t="shared" si="386"/>
        <v>65536</v>
      </c>
      <c r="O112" s="312">
        <v>65166</v>
      </c>
      <c r="P112" s="312">
        <v>66020</v>
      </c>
      <c r="Q112" s="312">
        <v>65969</v>
      </c>
      <c r="R112" s="312">
        <v>68856</v>
      </c>
      <c r="S112" s="354">
        <f>R112</f>
        <v>68856</v>
      </c>
      <c r="T112" s="312">
        <v>61534</v>
      </c>
      <c r="U112" s="312">
        <v>45661</v>
      </c>
      <c r="V112" s="312">
        <v>46977</v>
      </c>
      <c r="W112" s="341">
        <f>V112</f>
        <v>46977</v>
      </c>
      <c r="X112" s="342">
        <f>W112</f>
        <v>46977</v>
      </c>
      <c r="Y112" s="341">
        <f>X112</f>
        <v>46977</v>
      </c>
      <c r="Z112" s="341">
        <f t="shared" ref="Z112:AB112" si="429">Y112</f>
        <v>46977</v>
      </c>
      <c r="AA112" s="341">
        <f t="shared" si="429"/>
        <v>46977</v>
      </c>
      <c r="AB112" s="341">
        <f t="shared" si="429"/>
        <v>46977</v>
      </c>
      <c r="AC112" s="342">
        <f>AB112</f>
        <v>46977</v>
      </c>
      <c r="AD112" s="341">
        <f>AC112</f>
        <v>46977</v>
      </c>
      <c r="AE112" s="341">
        <f t="shared" ref="AE112:AG112" si="430">AD112</f>
        <v>46977</v>
      </c>
      <c r="AF112" s="341">
        <f t="shared" si="430"/>
        <v>46977</v>
      </c>
      <c r="AG112" s="341">
        <f t="shared" si="430"/>
        <v>46977</v>
      </c>
      <c r="AH112" s="342">
        <f>AG112</f>
        <v>46977</v>
      </c>
      <c r="AI112" s="341">
        <f>AH112</f>
        <v>46977</v>
      </c>
      <c r="AJ112" s="341">
        <f t="shared" ref="AJ112:AL112" si="431">AI112</f>
        <v>46977</v>
      </c>
      <c r="AK112" s="341">
        <f t="shared" si="431"/>
        <v>46977</v>
      </c>
      <c r="AL112" s="341">
        <f t="shared" si="431"/>
        <v>46977</v>
      </c>
      <c r="AM112" s="342">
        <f>AL112</f>
        <v>46977</v>
      </c>
      <c r="AN112" s="341">
        <f>AM112</f>
        <v>46977</v>
      </c>
      <c r="AO112" s="341">
        <f t="shared" ref="AO112:AQ112" si="432">AN112</f>
        <v>46977</v>
      </c>
      <c r="AP112" s="341">
        <f t="shared" si="432"/>
        <v>46977</v>
      </c>
      <c r="AQ112" s="341">
        <f t="shared" si="432"/>
        <v>46977</v>
      </c>
      <c r="AR112" s="342">
        <f>AQ112</f>
        <v>46977</v>
      </c>
      <c r="AS112" s="341">
        <f>AR112</f>
        <v>46977</v>
      </c>
      <c r="AT112" s="341">
        <f t="shared" ref="AT112:AV112" si="433">AS112</f>
        <v>46977</v>
      </c>
      <c r="AU112" s="341">
        <f t="shared" si="433"/>
        <v>46977</v>
      </c>
      <c r="AV112" s="341">
        <f t="shared" si="433"/>
        <v>46977</v>
      </c>
      <c r="AW112" s="342">
        <f>AV112</f>
        <v>46977</v>
      </c>
      <c r="AX112" s="143"/>
      <c r="AY112" s="143"/>
      <c r="AZ112" s="143"/>
      <c r="BA112" s="143"/>
      <c r="BB112" s="143"/>
      <c r="BC112" s="143"/>
      <c r="BD112" s="143"/>
      <c r="BE112" s="143"/>
      <c r="BF112" s="143"/>
      <c r="BG112" s="143"/>
      <c r="BH112" s="143"/>
      <c r="BI112" s="143"/>
      <c r="BJ112" s="143"/>
      <c r="BK112" s="143"/>
      <c r="BL112" s="143"/>
      <c r="BM112" s="143"/>
      <c r="BN112" s="143"/>
      <c r="BO112" s="143"/>
      <c r="BP112" s="143"/>
    </row>
    <row r="113" spans="2:68">
      <c r="B113" s="143"/>
      <c r="C113" s="143"/>
      <c r="D113" s="143" t="s">
        <v>58</v>
      </c>
      <c r="E113" s="312">
        <v>4747779</v>
      </c>
      <c r="F113" s="312">
        <v>4742033</v>
      </c>
      <c r="G113" s="312">
        <v>4693526</v>
      </c>
      <c r="H113" s="312">
        <v>4850515</v>
      </c>
      <c r="I113" s="354">
        <f t="shared" si="385"/>
        <v>4850515</v>
      </c>
      <c r="J113" s="312">
        <v>4561194</v>
      </c>
      <c r="K113" s="312">
        <v>4336913</v>
      </c>
      <c r="L113" s="312">
        <v>4787941</v>
      </c>
      <c r="M113" s="312">
        <v>4802194</v>
      </c>
      <c r="N113" s="354">
        <f t="shared" si="386"/>
        <v>4802194</v>
      </c>
      <c r="O113" s="312">
        <v>4248292</v>
      </c>
      <c r="P113" s="312">
        <v>4317571</v>
      </c>
      <c r="Q113" s="312">
        <v>4514566</v>
      </c>
      <c r="R113" s="312">
        <v>4699734</v>
      </c>
      <c r="S113" s="354">
        <f t="shared" ref="S113:S119" si="434">R113</f>
        <v>4699734</v>
      </c>
      <c r="T113" s="312">
        <v>4484908</v>
      </c>
      <c r="U113" s="312">
        <v>4781036</v>
      </c>
      <c r="V113" s="312">
        <v>5231130</v>
      </c>
      <c r="W113" s="347">
        <f>W135*W6/W132</f>
        <v>5189328.3712848481</v>
      </c>
      <c r="X113" s="342">
        <f t="shared" ref="X113:X115" si="435">W113</f>
        <v>5189328.3712848481</v>
      </c>
      <c r="Y113" s="347">
        <f>Y135*Y6/Y132</f>
        <v>4650611.3145396924</v>
      </c>
      <c r="Z113" s="347">
        <f>Z135*Z6/Z132</f>
        <v>4891544.5232058018</v>
      </c>
      <c r="AA113" s="347">
        <f>AA135*AA6/AA132</f>
        <v>5183898.8670393527</v>
      </c>
      <c r="AB113" s="347">
        <f>AB135*AB6/AB132</f>
        <v>5301760.4283776302</v>
      </c>
      <c r="AC113" s="342">
        <f t="shared" ref="AC113:AC115" si="436">AB113</f>
        <v>5301760.4283776302</v>
      </c>
      <c r="AD113" s="347">
        <f>AD135*AD6/AD132</f>
        <v>4872294.1074492764</v>
      </c>
      <c r="AE113" s="347">
        <f>AE135*AE6/AE132</f>
        <v>5169992.7718040459</v>
      </c>
      <c r="AF113" s="347">
        <f>AF135*AF6/AF132</f>
        <v>5589265.4982138816</v>
      </c>
      <c r="AG113" s="347">
        <f>AG135*AG6/AG132</f>
        <v>5791348.4153036103</v>
      </c>
      <c r="AH113" s="342">
        <f t="shared" ref="AH113:AH115" si="437">AG113</f>
        <v>5791348.4153036103</v>
      </c>
      <c r="AI113" s="347">
        <f>AI135*AI6/AI132</f>
        <v>5162199.5916990079</v>
      </c>
      <c r="AJ113" s="347">
        <f>AJ135*AJ6/AJ132</f>
        <v>5559766.665224391</v>
      </c>
      <c r="AK113" s="347">
        <f>AK135*AK6/AK132</f>
        <v>6087405.7004185962</v>
      </c>
      <c r="AL113" s="347">
        <f>AL135*AL6/AL132</f>
        <v>6211792.7892079419</v>
      </c>
      <c r="AM113" s="342">
        <f t="shared" ref="AM113:AM115" si="438">AL113</f>
        <v>6211792.7892079419</v>
      </c>
      <c r="AN113" s="347">
        <f>AN135*AN6/AN132</f>
        <v>5413546.8788874401</v>
      </c>
      <c r="AO113" s="347">
        <f>AO135*AO6/AO132</f>
        <v>5848802.6534038158</v>
      </c>
      <c r="AP113" s="347">
        <f>AP135*AP6/AP132</f>
        <v>6413597.799750004</v>
      </c>
      <c r="AQ113" s="347">
        <f>AQ135*AQ6/AQ132</f>
        <v>6599563.5153896771</v>
      </c>
      <c r="AR113" s="342">
        <f t="shared" ref="AR113:AR115" si="439">AQ113</f>
        <v>6599563.5153896771</v>
      </c>
      <c r="AS113" s="347">
        <f>AS135*AS6/AS132</f>
        <v>5688178.1599990502</v>
      </c>
      <c r="AT113" s="347">
        <f>AT135*AT6/AT132</f>
        <v>6196750.1733502559</v>
      </c>
      <c r="AU113" s="347">
        <f>AU135*AU6/AU132</f>
        <v>6870436.5868964586</v>
      </c>
      <c r="AV113" s="347">
        <f>AV135*AV6/AV132</f>
        <v>7083359.1571791777</v>
      </c>
      <c r="AW113" s="342">
        <f t="shared" ref="AW113:AW115" si="440">AV113</f>
        <v>7083359.1571791777</v>
      </c>
      <c r="AX113" s="143"/>
      <c r="AY113" s="143"/>
      <c r="AZ113" s="143"/>
      <c r="BA113" s="143"/>
      <c r="BB113" s="143"/>
      <c r="BC113" s="143"/>
      <c r="BD113" s="143"/>
      <c r="BE113" s="143"/>
      <c r="BF113" s="143"/>
      <c r="BG113" s="143"/>
      <c r="BH113" s="143"/>
      <c r="BI113" s="143"/>
      <c r="BJ113" s="143"/>
      <c r="BK113" s="143"/>
      <c r="BL113" s="143"/>
      <c r="BM113" s="143"/>
      <c r="BN113" s="143"/>
      <c r="BO113" s="143"/>
      <c r="BP113" s="143"/>
    </row>
    <row r="114" spans="2:68">
      <c r="B114" s="143"/>
      <c r="C114" s="143"/>
      <c r="D114" s="143" t="s">
        <v>59</v>
      </c>
      <c r="E114" s="312">
        <v>354889</v>
      </c>
      <c r="F114" s="312">
        <v>377133</v>
      </c>
      <c r="G114" s="312">
        <v>381266</v>
      </c>
      <c r="H114" s="312">
        <v>345539</v>
      </c>
      <c r="I114" s="354">
        <f t="shared" si="385"/>
        <v>345539</v>
      </c>
      <c r="J114" s="312">
        <v>339739</v>
      </c>
      <c r="K114" s="312">
        <v>363529</v>
      </c>
      <c r="L114" s="312">
        <v>401000</v>
      </c>
      <c r="M114" s="312">
        <v>360009</v>
      </c>
      <c r="N114" s="354">
        <f t="shared" si="386"/>
        <v>360009</v>
      </c>
      <c r="O114" s="312">
        <v>353547</v>
      </c>
      <c r="P114" s="312">
        <v>377527</v>
      </c>
      <c r="Q114" s="312">
        <v>410587</v>
      </c>
      <c r="R114" s="312">
        <v>357922</v>
      </c>
      <c r="S114" s="354">
        <f t="shared" si="434"/>
        <v>357922</v>
      </c>
      <c r="T114" s="312">
        <v>344245</v>
      </c>
      <c r="U114" s="312">
        <v>359353</v>
      </c>
      <c r="V114" s="312">
        <v>400074</v>
      </c>
      <c r="W114" s="341">
        <f>V114</f>
        <v>400074</v>
      </c>
      <c r="X114" s="342">
        <f t="shared" si="435"/>
        <v>400074</v>
      </c>
      <c r="Y114" s="341">
        <f>X114</f>
        <v>400074</v>
      </c>
      <c r="Z114" s="341">
        <f t="shared" ref="Z114:AB114" si="441">Y114</f>
        <v>400074</v>
      </c>
      <c r="AA114" s="341">
        <f t="shared" si="441"/>
        <v>400074</v>
      </c>
      <c r="AB114" s="341">
        <f t="shared" si="441"/>
        <v>400074</v>
      </c>
      <c r="AC114" s="342">
        <f t="shared" si="436"/>
        <v>400074</v>
      </c>
      <c r="AD114" s="341">
        <f>AC114</f>
        <v>400074</v>
      </c>
      <c r="AE114" s="341">
        <f t="shared" ref="AE114:AG114" si="442">AD114</f>
        <v>400074</v>
      </c>
      <c r="AF114" s="341">
        <f t="shared" si="442"/>
        <v>400074</v>
      </c>
      <c r="AG114" s="341">
        <f t="shared" si="442"/>
        <v>400074</v>
      </c>
      <c r="AH114" s="342">
        <f t="shared" si="437"/>
        <v>400074</v>
      </c>
      <c r="AI114" s="341">
        <f>AH114</f>
        <v>400074</v>
      </c>
      <c r="AJ114" s="341">
        <f t="shared" ref="AJ114:AL114" si="443">AI114</f>
        <v>400074</v>
      </c>
      <c r="AK114" s="341">
        <f t="shared" si="443"/>
        <v>400074</v>
      </c>
      <c r="AL114" s="341">
        <f t="shared" si="443"/>
        <v>400074</v>
      </c>
      <c r="AM114" s="342">
        <f t="shared" si="438"/>
        <v>400074</v>
      </c>
      <c r="AN114" s="341">
        <f>AM114</f>
        <v>400074</v>
      </c>
      <c r="AO114" s="341">
        <f t="shared" ref="AO114:AQ114" si="444">AN114</f>
        <v>400074</v>
      </c>
      <c r="AP114" s="341">
        <f t="shared" si="444"/>
        <v>400074</v>
      </c>
      <c r="AQ114" s="341">
        <f t="shared" si="444"/>
        <v>400074</v>
      </c>
      <c r="AR114" s="342">
        <f t="shared" si="439"/>
        <v>400074</v>
      </c>
      <c r="AS114" s="341">
        <f>AR114</f>
        <v>400074</v>
      </c>
      <c r="AT114" s="341">
        <f t="shared" ref="AT114:AV114" si="445">AS114</f>
        <v>400074</v>
      </c>
      <c r="AU114" s="341">
        <f t="shared" si="445"/>
        <v>400074</v>
      </c>
      <c r="AV114" s="341">
        <f t="shared" si="445"/>
        <v>400074</v>
      </c>
      <c r="AW114" s="342">
        <f t="shared" si="440"/>
        <v>400074</v>
      </c>
      <c r="AX114" s="143"/>
      <c r="AY114" s="143"/>
      <c r="AZ114" s="143"/>
      <c r="BA114" s="143"/>
      <c r="BB114" s="143"/>
      <c r="BC114" s="143"/>
      <c r="BD114" s="143"/>
      <c r="BE114" s="143"/>
      <c r="BF114" s="143"/>
      <c r="BG114" s="143"/>
      <c r="BH114" s="143"/>
      <c r="BI114" s="143"/>
      <c r="BJ114" s="143"/>
      <c r="BK114" s="143"/>
      <c r="BL114" s="143"/>
      <c r="BM114" s="143"/>
      <c r="BN114" s="143"/>
      <c r="BO114" s="143"/>
      <c r="BP114" s="143"/>
    </row>
    <row r="115" spans="2:68">
      <c r="B115" s="143"/>
      <c r="C115" s="143"/>
      <c r="D115" s="143" t="s">
        <v>60</v>
      </c>
      <c r="E115" s="312">
        <v>2521444</v>
      </c>
      <c r="F115" s="312">
        <v>2058708</v>
      </c>
      <c r="G115" s="312">
        <v>1935904</v>
      </c>
      <c r="H115" s="312">
        <v>1967494</v>
      </c>
      <c r="I115" s="354">
        <f t="shared" si="385"/>
        <v>1967494</v>
      </c>
      <c r="J115" s="312">
        <v>1809128</v>
      </c>
      <c r="K115" s="312">
        <v>1750859</v>
      </c>
      <c r="L115" s="312">
        <v>1795867</v>
      </c>
      <c r="M115" s="312">
        <v>1924532</v>
      </c>
      <c r="N115" s="354">
        <f t="shared" si="386"/>
        <v>1924532</v>
      </c>
      <c r="O115" s="312">
        <v>1905200</v>
      </c>
      <c r="P115" s="312">
        <v>1866585</v>
      </c>
      <c r="Q115" s="312">
        <v>1862545</v>
      </c>
      <c r="R115" s="312">
        <v>1751245</v>
      </c>
      <c r="S115" s="354">
        <f t="shared" si="434"/>
        <v>1751245</v>
      </c>
      <c r="T115" s="312">
        <v>1613940</v>
      </c>
      <c r="U115" s="312">
        <v>1572198</v>
      </c>
      <c r="V115" s="312">
        <v>1552254</v>
      </c>
      <c r="W115" s="341">
        <f>V115</f>
        <v>1552254</v>
      </c>
      <c r="X115" s="342">
        <f t="shared" si="435"/>
        <v>1552254</v>
      </c>
      <c r="Y115" s="341">
        <f>X115</f>
        <v>1552254</v>
      </c>
      <c r="Z115" s="341">
        <f t="shared" ref="Z115:AB115" si="446">Y115</f>
        <v>1552254</v>
      </c>
      <c r="AA115" s="341">
        <f t="shared" si="446"/>
        <v>1552254</v>
      </c>
      <c r="AB115" s="341">
        <f t="shared" si="446"/>
        <v>1552254</v>
      </c>
      <c r="AC115" s="342">
        <f t="shared" si="436"/>
        <v>1552254</v>
      </c>
      <c r="AD115" s="341">
        <f>AC115</f>
        <v>1552254</v>
      </c>
      <c r="AE115" s="341">
        <f t="shared" ref="AE115:AG115" si="447">AD115</f>
        <v>1552254</v>
      </c>
      <c r="AF115" s="341">
        <f t="shared" si="447"/>
        <v>1552254</v>
      </c>
      <c r="AG115" s="341">
        <f t="shared" si="447"/>
        <v>1552254</v>
      </c>
      <c r="AH115" s="342">
        <f t="shared" si="437"/>
        <v>1552254</v>
      </c>
      <c r="AI115" s="341">
        <f>AH115</f>
        <v>1552254</v>
      </c>
      <c r="AJ115" s="341">
        <f t="shared" ref="AJ115:AL115" si="448">AI115</f>
        <v>1552254</v>
      </c>
      <c r="AK115" s="341">
        <f t="shared" si="448"/>
        <v>1552254</v>
      </c>
      <c r="AL115" s="341">
        <f t="shared" si="448"/>
        <v>1552254</v>
      </c>
      <c r="AM115" s="342">
        <f t="shared" si="438"/>
        <v>1552254</v>
      </c>
      <c r="AN115" s="341">
        <f>AM115</f>
        <v>1552254</v>
      </c>
      <c r="AO115" s="341">
        <f t="shared" ref="AO115:AQ115" si="449">AN115</f>
        <v>1552254</v>
      </c>
      <c r="AP115" s="341">
        <f t="shared" si="449"/>
        <v>1552254</v>
      </c>
      <c r="AQ115" s="341">
        <f t="shared" si="449"/>
        <v>1552254</v>
      </c>
      <c r="AR115" s="342">
        <f t="shared" si="439"/>
        <v>1552254</v>
      </c>
      <c r="AS115" s="341">
        <f>AR115</f>
        <v>1552254</v>
      </c>
      <c r="AT115" s="341">
        <f t="shared" ref="AT115:AV115" si="450">AS115</f>
        <v>1552254</v>
      </c>
      <c r="AU115" s="341">
        <f t="shared" si="450"/>
        <v>1552254</v>
      </c>
      <c r="AV115" s="341">
        <f t="shared" si="450"/>
        <v>1552254</v>
      </c>
      <c r="AW115" s="342">
        <f t="shared" si="440"/>
        <v>1552254</v>
      </c>
      <c r="AX115" s="143"/>
      <c r="AY115" s="143"/>
      <c r="AZ115" s="143"/>
      <c r="BA115" s="143"/>
      <c r="BB115" s="143"/>
      <c r="BC115" s="143"/>
      <c r="BD115" s="143"/>
      <c r="BE115" s="143"/>
      <c r="BF115" s="143"/>
      <c r="BG115" s="143"/>
      <c r="BH115" s="143"/>
      <c r="BI115" s="143"/>
      <c r="BJ115" s="143"/>
      <c r="BK115" s="143"/>
      <c r="BL115" s="143"/>
      <c r="BM115" s="143"/>
      <c r="BN115" s="143"/>
      <c r="BO115" s="143"/>
      <c r="BP115" s="143"/>
    </row>
    <row r="116" spans="2:68" s="71" customFormat="1">
      <c r="B116" s="146"/>
      <c r="C116" s="146"/>
      <c r="D116" s="153" t="s">
        <v>61</v>
      </c>
      <c r="E116" s="311">
        <f>SUM(E112:E115)</f>
        <v>7656687</v>
      </c>
      <c r="F116" s="311">
        <f>SUM(F112:F115)</f>
        <v>7233212</v>
      </c>
      <c r="G116" s="311">
        <f>SUM(G112:G115)</f>
        <v>7056275</v>
      </c>
      <c r="H116" s="311">
        <f>SUM(H112:H115)</f>
        <v>7208722</v>
      </c>
      <c r="I116" s="390">
        <f t="shared" si="385"/>
        <v>7208722</v>
      </c>
      <c r="J116" s="311">
        <f>SUM(J112:J115)</f>
        <v>6756223</v>
      </c>
      <c r="K116" s="311">
        <f>SUM(K112:K115)</f>
        <v>6496228</v>
      </c>
      <c r="L116" s="311">
        <f>SUM(L112:L115)</f>
        <v>7032780</v>
      </c>
      <c r="M116" s="311">
        <f>SUM(M112:M115)</f>
        <v>7152271</v>
      </c>
      <c r="N116" s="390">
        <f t="shared" si="386"/>
        <v>7152271</v>
      </c>
      <c r="O116" s="311">
        <f>SUM(O112:O115)</f>
        <v>6572205</v>
      </c>
      <c r="P116" s="311">
        <v>6627703</v>
      </c>
      <c r="Q116" s="311">
        <v>6853667</v>
      </c>
      <c r="R116" s="311">
        <v>6877757</v>
      </c>
      <c r="S116" s="390">
        <f t="shared" si="434"/>
        <v>6877757</v>
      </c>
      <c r="T116" s="311">
        <v>6504627</v>
      </c>
      <c r="U116" s="311">
        <v>6758248</v>
      </c>
      <c r="V116" s="311">
        <f>SUM(V112:V115)</f>
        <v>7230435</v>
      </c>
      <c r="W116" s="348">
        <f>SUM(W112:W115)</f>
        <v>7188633.3712848481</v>
      </c>
      <c r="X116" s="343">
        <f>W116</f>
        <v>7188633.3712848481</v>
      </c>
      <c r="Y116" s="348">
        <f>SUM(Y112:Y115)</f>
        <v>6649916.3145396924</v>
      </c>
      <c r="Z116" s="348">
        <f t="shared" ref="Z116:AB116" si="451">SUM(Z112:Z115)</f>
        <v>6890849.5232058018</v>
      </c>
      <c r="AA116" s="348">
        <f t="shared" si="451"/>
        <v>7183203.8670393527</v>
      </c>
      <c r="AB116" s="348">
        <f t="shared" si="451"/>
        <v>7301065.4283776302</v>
      </c>
      <c r="AC116" s="343">
        <f>AB116</f>
        <v>7301065.4283776302</v>
      </c>
      <c r="AD116" s="348">
        <f>SUM(AD112:AD115)</f>
        <v>6871599.1074492764</v>
      </c>
      <c r="AE116" s="348">
        <f t="shared" ref="AE116" si="452">SUM(AE112:AE115)</f>
        <v>7169297.7718040459</v>
      </c>
      <c r="AF116" s="348">
        <f t="shared" ref="AF116" si="453">SUM(AF112:AF115)</f>
        <v>7588570.4982138816</v>
      </c>
      <c r="AG116" s="348">
        <f t="shared" ref="AG116" si="454">SUM(AG112:AG115)</f>
        <v>7790653.4153036103</v>
      </c>
      <c r="AH116" s="343">
        <f>AG116</f>
        <v>7790653.4153036103</v>
      </c>
      <c r="AI116" s="348">
        <f>SUM(AI112:AI115)</f>
        <v>7161504.5916990079</v>
      </c>
      <c r="AJ116" s="348">
        <f t="shared" ref="AJ116" si="455">SUM(AJ112:AJ115)</f>
        <v>7559071.665224391</v>
      </c>
      <c r="AK116" s="348">
        <f t="shared" ref="AK116" si="456">SUM(AK112:AK115)</f>
        <v>8086710.7004185962</v>
      </c>
      <c r="AL116" s="348">
        <f t="shared" ref="AL116" si="457">SUM(AL112:AL115)</f>
        <v>8211097.7892079419</v>
      </c>
      <c r="AM116" s="343">
        <f>AL116</f>
        <v>8211097.7892079419</v>
      </c>
      <c r="AN116" s="348">
        <f>SUM(AN112:AN115)</f>
        <v>7412851.8788874401</v>
      </c>
      <c r="AO116" s="348">
        <f t="shared" ref="AO116" si="458">SUM(AO112:AO115)</f>
        <v>7848107.6534038158</v>
      </c>
      <c r="AP116" s="348">
        <f t="shared" ref="AP116" si="459">SUM(AP112:AP115)</f>
        <v>8412902.799750004</v>
      </c>
      <c r="AQ116" s="348">
        <f t="shared" ref="AQ116" si="460">SUM(AQ112:AQ115)</f>
        <v>8598868.5153896771</v>
      </c>
      <c r="AR116" s="343">
        <f>AQ116</f>
        <v>8598868.5153896771</v>
      </c>
      <c r="AS116" s="348">
        <f>SUM(AS112:AS115)</f>
        <v>7687483.1599990502</v>
      </c>
      <c r="AT116" s="348">
        <f t="shared" ref="AT116" si="461">SUM(AT112:AT115)</f>
        <v>8196055.1733502559</v>
      </c>
      <c r="AU116" s="348">
        <f t="shared" ref="AU116" si="462">SUM(AU112:AU115)</f>
        <v>8869741.5868964586</v>
      </c>
      <c r="AV116" s="348">
        <f t="shared" ref="AV116" si="463">SUM(AV112:AV115)</f>
        <v>9082664.1571791768</v>
      </c>
      <c r="AW116" s="343">
        <f>AV116</f>
        <v>9082664.1571791768</v>
      </c>
      <c r="AX116" s="146"/>
      <c r="AY116" s="146"/>
      <c r="AZ116" s="146"/>
      <c r="BA116" s="146"/>
      <c r="BB116" s="146"/>
      <c r="BC116" s="146"/>
      <c r="BD116" s="146"/>
      <c r="BE116" s="146"/>
      <c r="BF116" s="146"/>
      <c r="BG116" s="146"/>
      <c r="BH116" s="146"/>
      <c r="BI116" s="146"/>
      <c r="BJ116" s="146"/>
      <c r="BK116" s="146"/>
      <c r="BL116" s="146"/>
      <c r="BM116" s="146"/>
      <c r="BN116" s="146"/>
      <c r="BO116" s="146"/>
      <c r="BP116" s="146"/>
    </row>
    <row r="117" spans="2:68">
      <c r="B117" s="143"/>
      <c r="C117" s="143"/>
      <c r="D117" s="143"/>
      <c r="E117" s="151"/>
      <c r="F117" s="151"/>
      <c r="G117" s="151"/>
      <c r="H117" s="151"/>
      <c r="I117" s="148"/>
      <c r="J117" s="151"/>
      <c r="K117" s="151"/>
      <c r="L117" s="151"/>
      <c r="M117" s="151"/>
      <c r="N117" s="148"/>
      <c r="O117" s="151"/>
      <c r="P117" s="151"/>
      <c r="Q117" s="151"/>
      <c r="R117" s="151"/>
      <c r="S117" s="148"/>
      <c r="T117" s="151"/>
      <c r="U117" s="151"/>
      <c r="V117" s="151"/>
      <c r="W117" s="184"/>
      <c r="X117" s="342"/>
      <c r="Y117" s="184"/>
      <c r="Z117" s="184"/>
      <c r="AA117" s="184"/>
      <c r="AB117" s="184"/>
      <c r="AC117" s="194"/>
      <c r="AD117" s="184"/>
      <c r="AE117" s="184"/>
      <c r="AF117" s="184"/>
      <c r="AG117" s="184"/>
      <c r="AH117" s="194"/>
      <c r="AI117" s="184"/>
      <c r="AJ117" s="184"/>
      <c r="AK117" s="184"/>
      <c r="AL117" s="184"/>
      <c r="AM117" s="194"/>
      <c r="AN117" s="184"/>
      <c r="AO117" s="184"/>
      <c r="AP117" s="184"/>
      <c r="AQ117" s="184"/>
      <c r="AR117" s="194"/>
      <c r="AS117" s="184"/>
      <c r="AT117" s="184"/>
      <c r="AU117" s="184"/>
      <c r="AV117" s="184"/>
      <c r="AW117" s="194"/>
      <c r="AX117" s="143"/>
      <c r="AY117" s="143"/>
      <c r="AZ117" s="143"/>
      <c r="BA117" s="143"/>
      <c r="BB117" s="143"/>
      <c r="BC117" s="143"/>
      <c r="BD117" s="143"/>
      <c r="BE117" s="143"/>
      <c r="BF117" s="143"/>
      <c r="BG117" s="143"/>
      <c r="BH117" s="143"/>
      <c r="BI117" s="143"/>
      <c r="BJ117" s="143"/>
      <c r="BK117" s="143"/>
      <c r="BL117" s="143"/>
      <c r="BM117" s="143"/>
      <c r="BN117" s="143"/>
      <c r="BO117" s="143"/>
      <c r="BP117" s="143"/>
    </row>
    <row r="118" spans="2:68">
      <c r="B118" s="143"/>
      <c r="C118" s="143"/>
      <c r="D118" s="143" t="s">
        <v>62</v>
      </c>
      <c r="E118" s="312">
        <v>2070020</v>
      </c>
      <c r="F118" s="312">
        <v>2073854</v>
      </c>
      <c r="G118" s="312">
        <v>2062926</v>
      </c>
      <c r="H118" s="312">
        <v>2045569</v>
      </c>
      <c r="I118" s="354">
        <f t="shared" si="385"/>
        <v>2045569</v>
      </c>
      <c r="J118" s="312">
        <v>2037571</v>
      </c>
      <c r="K118" s="312">
        <v>2632138</v>
      </c>
      <c r="L118" s="312">
        <v>2618178</v>
      </c>
      <c r="M118" s="312">
        <v>2741474</v>
      </c>
      <c r="N118" s="354">
        <f t="shared" si="386"/>
        <v>2741474</v>
      </c>
      <c r="O118" s="312">
        <v>2709389</v>
      </c>
      <c r="P118" s="312">
        <v>2692596</v>
      </c>
      <c r="Q118" s="312">
        <v>2678115</v>
      </c>
      <c r="R118" s="312">
        <v>2797984</v>
      </c>
      <c r="S118" s="354">
        <f t="shared" si="434"/>
        <v>2797984</v>
      </c>
      <c r="T118" s="312">
        <v>2890609</v>
      </c>
      <c r="U118" s="312">
        <v>2918871</v>
      </c>
      <c r="V118" s="312">
        <v>2909144</v>
      </c>
      <c r="W118" s="341">
        <f t="shared" ref="W118:Y119" si="464">V118</f>
        <v>2909144</v>
      </c>
      <c r="X118" s="342">
        <f t="shared" si="464"/>
        <v>2909144</v>
      </c>
      <c r="Y118" s="341">
        <f t="shared" si="464"/>
        <v>2909144</v>
      </c>
      <c r="Z118" s="341">
        <f t="shared" ref="Z118:AB118" si="465">Y118</f>
        <v>2909144</v>
      </c>
      <c r="AA118" s="341">
        <f t="shared" si="465"/>
        <v>2909144</v>
      </c>
      <c r="AB118" s="341">
        <f t="shared" si="465"/>
        <v>2909144</v>
      </c>
      <c r="AC118" s="342">
        <f>AB118</f>
        <v>2909144</v>
      </c>
      <c r="AD118" s="341">
        <f>AC118</f>
        <v>2909144</v>
      </c>
      <c r="AE118" s="341">
        <f t="shared" ref="AE118:AG118" si="466">AD118</f>
        <v>2909144</v>
      </c>
      <c r="AF118" s="341">
        <f t="shared" si="466"/>
        <v>2909144</v>
      </c>
      <c r="AG118" s="341">
        <f t="shared" si="466"/>
        <v>2909144</v>
      </c>
      <c r="AH118" s="342">
        <f>AG118</f>
        <v>2909144</v>
      </c>
      <c r="AI118" s="341">
        <f>AH118</f>
        <v>2909144</v>
      </c>
      <c r="AJ118" s="341">
        <f t="shared" ref="AJ118:AL118" si="467">AI118</f>
        <v>2909144</v>
      </c>
      <c r="AK118" s="341">
        <f t="shared" si="467"/>
        <v>2909144</v>
      </c>
      <c r="AL118" s="341">
        <f t="shared" si="467"/>
        <v>2909144</v>
      </c>
      <c r="AM118" s="342">
        <f>AL118</f>
        <v>2909144</v>
      </c>
      <c r="AN118" s="341">
        <f>AM118</f>
        <v>2909144</v>
      </c>
      <c r="AO118" s="341">
        <f t="shared" ref="AO118:AQ118" si="468">AN118</f>
        <v>2909144</v>
      </c>
      <c r="AP118" s="341">
        <f t="shared" si="468"/>
        <v>2909144</v>
      </c>
      <c r="AQ118" s="341">
        <f t="shared" si="468"/>
        <v>2909144</v>
      </c>
      <c r="AR118" s="342">
        <f>AQ118</f>
        <v>2909144</v>
      </c>
      <c r="AS118" s="341">
        <f>AR118</f>
        <v>2909144</v>
      </c>
      <c r="AT118" s="341">
        <f t="shared" ref="AT118:AV118" si="469">AS118</f>
        <v>2909144</v>
      </c>
      <c r="AU118" s="341">
        <f t="shared" si="469"/>
        <v>2909144</v>
      </c>
      <c r="AV118" s="341">
        <f t="shared" si="469"/>
        <v>2909144</v>
      </c>
      <c r="AW118" s="342">
        <f>AV118</f>
        <v>2909144</v>
      </c>
      <c r="AX118" s="143"/>
      <c r="AY118" s="143"/>
      <c r="AZ118" s="143"/>
      <c r="BA118" s="143"/>
      <c r="BB118" s="143"/>
      <c r="BC118" s="143"/>
      <c r="BD118" s="143"/>
      <c r="BE118" s="143"/>
      <c r="BF118" s="143"/>
      <c r="BG118" s="143"/>
      <c r="BH118" s="143"/>
      <c r="BI118" s="143"/>
      <c r="BJ118" s="143"/>
      <c r="BK118" s="143"/>
      <c r="BL118" s="143"/>
      <c r="BM118" s="143"/>
      <c r="BN118" s="143"/>
      <c r="BO118" s="143"/>
      <c r="BP118" s="143"/>
    </row>
    <row r="119" spans="2:68">
      <c r="B119" s="143"/>
      <c r="C119" s="143"/>
      <c r="D119" s="143" t="s">
        <v>63</v>
      </c>
      <c r="E119" s="312">
        <v>571764</v>
      </c>
      <c r="F119" s="312">
        <v>459890</v>
      </c>
      <c r="G119" s="312">
        <v>457818</v>
      </c>
      <c r="H119" s="312">
        <v>447337</v>
      </c>
      <c r="I119" s="354">
        <f t="shared" si="385"/>
        <v>447337</v>
      </c>
      <c r="J119" s="312">
        <v>475580</v>
      </c>
      <c r="K119" s="312">
        <v>484258</v>
      </c>
      <c r="L119" s="312">
        <v>553806</v>
      </c>
      <c r="M119" s="312">
        <v>577341</v>
      </c>
      <c r="N119" s="354">
        <f t="shared" si="386"/>
        <v>577341</v>
      </c>
      <c r="O119" s="312">
        <v>497857</v>
      </c>
      <c r="P119" s="312">
        <v>521631</v>
      </c>
      <c r="Q119" s="312">
        <v>525044</v>
      </c>
      <c r="R119" s="312">
        <v>485811</v>
      </c>
      <c r="S119" s="354">
        <f t="shared" si="434"/>
        <v>485811</v>
      </c>
      <c r="T119" s="312">
        <v>519851</v>
      </c>
      <c r="U119" s="312">
        <v>530091</v>
      </c>
      <c r="V119" s="312">
        <v>550042</v>
      </c>
      <c r="W119" s="341">
        <f t="shared" si="464"/>
        <v>550042</v>
      </c>
      <c r="X119" s="342">
        <f t="shared" si="464"/>
        <v>550042</v>
      </c>
      <c r="Y119" s="341">
        <f t="shared" si="464"/>
        <v>550042</v>
      </c>
      <c r="Z119" s="341">
        <f t="shared" ref="Z119:AB119" si="470">Y119</f>
        <v>550042</v>
      </c>
      <c r="AA119" s="341">
        <f t="shared" si="470"/>
        <v>550042</v>
      </c>
      <c r="AB119" s="341">
        <f t="shared" si="470"/>
        <v>550042</v>
      </c>
      <c r="AC119" s="342">
        <f>AB119</f>
        <v>550042</v>
      </c>
      <c r="AD119" s="341">
        <f>AC119</f>
        <v>550042</v>
      </c>
      <c r="AE119" s="341">
        <f t="shared" ref="AE119:AG119" si="471">AD119</f>
        <v>550042</v>
      </c>
      <c r="AF119" s="341">
        <f t="shared" si="471"/>
        <v>550042</v>
      </c>
      <c r="AG119" s="341">
        <f t="shared" si="471"/>
        <v>550042</v>
      </c>
      <c r="AH119" s="342">
        <f>AG119</f>
        <v>550042</v>
      </c>
      <c r="AI119" s="341">
        <f>AH119</f>
        <v>550042</v>
      </c>
      <c r="AJ119" s="341">
        <f t="shared" ref="AJ119:AL119" si="472">AI119</f>
        <v>550042</v>
      </c>
      <c r="AK119" s="341">
        <f t="shared" si="472"/>
        <v>550042</v>
      </c>
      <c r="AL119" s="341">
        <f t="shared" si="472"/>
        <v>550042</v>
      </c>
      <c r="AM119" s="342">
        <f>AL119</f>
        <v>550042</v>
      </c>
      <c r="AN119" s="341">
        <f>AM119</f>
        <v>550042</v>
      </c>
      <c r="AO119" s="341">
        <f t="shared" ref="AO119:AQ119" si="473">AN119</f>
        <v>550042</v>
      </c>
      <c r="AP119" s="341">
        <f t="shared" si="473"/>
        <v>550042</v>
      </c>
      <c r="AQ119" s="341">
        <f t="shared" si="473"/>
        <v>550042</v>
      </c>
      <c r="AR119" s="342">
        <f>AQ119</f>
        <v>550042</v>
      </c>
      <c r="AS119" s="341">
        <f>AR119</f>
        <v>550042</v>
      </c>
      <c r="AT119" s="341">
        <f t="shared" ref="AT119:AV119" si="474">AS119</f>
        <v>550042</v>
      </c>
      <c r="AU119" s="341">
        <f t="shared" si="474"/>
        <v>550042</v>
      </c>
      <c r="AV119" s="341">
        <f t="shared" si="474"/>
        <v>550042</v>
      </c>
      <c r="AW119" s="342">
        <f>AV119</f>
        <v>550042</v>
      </c>
      <c r="AX119" s="143"/>
      <c r="AY119" s="143"/>
      <c r="AZ119" s="143"/>
      <c r="BA119" s="143"/>
      <c r="BB119" s="143"/>
      <c r="BC119" s="143"/>
      <c r="BD119" s="143"/>
      <c r="BE119" s="143"/>
      <c r="BF119" s="143"/>
      <c r="BG119" s="143"/>
      <c r="BH119" s="143"/>
      <c r="BI119" s="143"/>
      <c r="BJ119" s="143"/>
      <c r="BK119" s="143"/>
      <c r="BL119" s="143"/>
      <c r="BM119" s="143"/>
      <c r="BN119" s="143"/>
      <c r="BO119" s="143"/>
      <c r="BP119" s="143"/>
    </row>
    <row r="120" spans="2:68">
      <c r="B120" s="143"/>
      <c r="C120" s="143"/>
      <c r="D120" s="143"/>
      <c r="E120" s="151"/>
      <c r="F120" s="151"/>
      <c r="G120" s="151"/>
      <c r="H120" s="151"/>
      <c r="I120" s="148"/>
      <c r="J120" s="151"/>
      <c r="K120" s="151"/>
      <c r="L120" s="151"/>
      <c r="M120" s="151"/>
      <c r="N120" s="148"/>
      <c r="O120" s="151"/>
      <c r="P120" s="151"/>
      <c r="Q120" s="151"/>
      <c r="R120" s="151"/>
      <c r="S120" s="148"/>
      <c r="T120" s="151"/>
      <c r="U120" s="151"/>
      <c r="V120" s="151"/>
      <c r="W120" s="184"/>
      <c r="X120" s="342"/>
      <c r="Y120" s="184"/>
      <c r="Z120" s="184"/>
      <c r="AA120" s="184"/>
      <c r="AB120" s="184"/>
      <c r="AC120" s="194"/>
      <c r="AD120" s="184"/>
      <c r="AE120" s="184"/>
      <c r="AF120" s="184"/>
      <c r="AG120" s="184"/>
      <c r="AH120" s="194"/>
      <c r="AI120" s="184"/>
      <c r="AJ120" s="184"/>
      <c r="AK120" s="184"/>
      <c r="AL120" s="184"/>
      <c r="AM120" s="194"/>
      <c r="AN120" s="184"/>
      <c r="AO120" s="184"/>
      <c r="AP120" s="184"/>
      <c r="AQ120" s="184"/>
      <c r="AR120" s="194"/>
      <c r="AS120" s="184"/>
      <c r="AT120" s="184"/>
      <c r="AU120" s="184"/>
      <c r="AV120" s="184"/>
      <c r="AW120" s="194"/>
      <c r="AX120" s="143"/>
      <c r="AY120" s="143"/>
      <c r="AZ120" s="143"/>
      <c r="BA120" s="143"/>
      <c r="BB120" s="143"/>
      <c r="BC120" s="143"/>
      <c r="BD120" s="143"/>
      <c r="BE120" s="143"/>
      <c r="BF120" s="143"/>
      <c r="BG120" s="143"/>
      <c r="BH120" s="143"/>
      <c r="BI120" s="143"/>
      <c r="BJ120" s="143"/>
      <c r="BK120" s="143"/>
      <c r="BL120" s="143"/>
      <c r="BM120" s="143"/>
      <c r="BN120" s="143"/>
      <c r="BO120" s="143"/>
      <c r="BP120" s="143"/>
    </row>
    <row r="121" spans="2:68">
      <c r="B121" s="143"/>
      <c r="C121" s="143"/>
      <c r="D121" s="143" t="s">
        <v>64</v>
      </c>
      <c r="E121" s="312">
        <v>7614515</v>
      </c>
      <c r="F121" s="312">
        <v>7533258</v>
      </c>
      <c r="G121" s="312">
        <v>7444765</v>
      </c>
      <c r="H121" s="312">
        <v>7376355</v>
      </c>
      <c r="I121" s="354">
        <f t="shared" si="385"/>
        <v>7376355</v>
      </c>
      <c r="J121" s="312">
        <v>7265827</v>
      </c>
      <c r="K121" s="312">
        <v>7230211</v>
      </c>
      <c r="L121" s="312">
        <v>7111513</v>
      </c>
      <c r="M121" s="312">
        <v>7045170</v>
      </c>
      <c r="N121" s="354">
        <f t="shared" si="386"/>
        <v>7045170</v>
      </c>
      <c r="O121" s="312">
        <v>6987214</v>
      </c>
      <c r="P121" s="312">
        <v>6922811</v>
      </c>
      <c r="Q121" s="312">
        <v>6861624</v>
      </c>
      <c r="R121" s="312">
        <v>6806797</v>
      </c>
      <c r="S121" s="354">
        <f>R121</f>
        <v>6806797</v>
      </c>
      <c r="T121" s="312">
        <v>6733539</v>
      </c>
      <c r="U121" s="312">
        <v>6677832</v>
      </c>
      <c r="V121" s="312">
        <v>6627225</v>
      </c>
      <c r="W121" s="341">
        <f>V121</f>
        <v>6627225</v>
      </c>
      <c r="X121" s="342">
        <f>W121</f>
        <v>6627225</v>
      </c>
      <c r="Y121" s="341">
        <f>X121</f>
        <v>6627225</v>
      </c>
      <c r="Z121" s="341">
        <f t="shared" ref="Z121:AB121" si="475">Y121</f>
        <v>6627225</v>
      </c>
      <c r="AA121" s="341">
        <f t="shared" si="475"/>
        <v>6627225</v>
      </c>
      <c r="AB121" s="341">
        <f t="shared" si="475"/>
        <v>6627225</v>
      </c>
      <c r="AC121" s="342">
        <f>AB121</f>
        <v>6627225</v>
      </c>
      <c r="AD121" s="341">
        <f>AC121</f>
        <v>6627225</v>
      </c>
      <c r="AE121" s="341">
        <f t="shared" ref="AE121:AG121" si="476">AD121</f>
        <v>6627225</v>
      </c>
      <c r="AF121" s="341">
        <f t="shared" si="476"/>
        <v>6627225</v>
      </c>
      <c r="AG121" s="341">
        <f t="shared" si="476"/>
        <v>6627225</v>
      </c>
      <c r="AH121" s="342">
        <f>AG121</f>
        <v>6627225</v>
      </c>
      <c r="AI121" s="341">
        <f>AH121</f>
        <v>6627225</v>
      </c>
      <c r="AJ121" s="341">
        <f t="shared" ref="AJ121:AL121" si="477">AI121</f>
        <v>6627225</v>
      </c>
      <c r="AK121" s="341">
        <f t="shared" si="477"/>
        <v>6627225</v>
      </c>
      <c r="AL121" s="341">
        <f t="shared" si="477"/>
        <v>6627225</v>
      </c>
      <c r="AM121" s="342">
        <f>AL121</f>
        <v>6627225</v>
      </c>
      <c r="AN121" s="341">
        <f>AM121</f>
        <v>6627225</v>
      </c>
      <c r="AO121" s="341">
        <f t="shared" ref="AO121:AQ121" si="478">AN121</f>
        <v>6627225</v>
      </c>
      <c r="AP121" s="341">
        <f t="shared" si="478"/>
        <v>6627225</v>
      </c>
      <c r="AQ121" s="341">
        <f t="shared" si="478"/>
        <v>6627225</v>
      </c>
      <c r="AR121" s="342">
        <f>AQ121</f>
        <v>6627225</v>
      </c>
      <c r="AS121" s="341">
        <f>AR121</f>
        <v>6627225</v>
      </c>
      <c r="AT121" s="341">
        <f t="shared" ref="AT121:AV121" si="479">AS121</f>
        <v>6627225</v>
      </c>
      <c r="AU121" s="341">
        <f t="shared" si="479"/>
        <v>6627225</v>
      </c>
      <c r="AV121" s="341">
        <f t="shared" si="479"/>
        <v>6627225</v>
      </c>
      <c r="AW121" s="342">
        <f>AV121</f>
        <v>6627225</v>
      </c>
      <c r="AX121" s="143"/>
      <c r="AY121" s="143"/>
      <c r="AZ121" s="143"/>
      <c r="BA121" s="143"/>
      <c r="BB121" s="143"/>
      <c r="BC121" s="143"/>
      <c r="BD121" s="143"/>
      <c r="BE121" s="143"/>
      <c r="BF121" s="143"/>
      <c r="BG121" s="143"/>
      <c r="BH121" s="143"/>
      <c r="BI121" s="143"/>
      <c r="BJ121" s="143"/>
      <c r="BK121" s="143"/>
      <c r="BL121" s="143"/>
      <c r="BM121" s="143"/>
      <c r="BN121" s="143"/>
      <c r="BO121" s="143"/>
      <c r="BP121" s="143"/>
    </row>
    <row r="122" spans="2:68">
      <c r="B122" s="143"/>
      <c r="C122" s="143"/>
      <c r="D122" s="143" t="s">
        <v>68</v>
      </c>
      <c r="E122" s="312">
        <v>-388215</v>
      </c>
      <c r="F122" s="312">
        <v>-388215</v>
      </c>
      <c r="G122" s="312">
        <v>-388215</v>
      </c>
      <c r="H122" s="312">
        <v>-388215</v>
      </c>
      <c r="I122" s="354">
        <f t="shared" si="385"/>
        <v>-388215</v>
      </c>
      <c r="J122" s="312">
        <v>-388215</v>
      </c>
      <c r="K122" s="312">
        <v>-388215</v>
      </c>
      <c r="L122" s="312">
        <v>-388215</v>
      </c>
      <c r="M122" s="312">
        <v>-388215</v>
      </c>
      <c r="N122" s="354">
        <f t="shared" si="386"/>
        <v>-388215</v>
      </c>
      <c r="O122" s="312">
        <v>-388215</v>
      </c>
      <c r="P122" s="312">
        <v>-388215</v>
      </c>
      <c r="Q122" s="312">
        <v>-388215</v>
      </c>
      <c r="R122" s="312">
        <v>-388215</v>
      </c>
      <c r="S122" s="354">
        <f t="shared" ref="S122:S126" si="480">R122</f>
        <v>-388215</v>
      </c>
      <c r="T122" s="312">
        <v>-388215</v>
      </c>
      <c r="U122" s="312">
        <v>-388215</v>
      </c>
      <c r="V122" s="312">
        <v>-388215</v>
      </c>
      <c r="W122" s="341">
        <f>V122</f>
        <v>-388215</v>
      </c>
      <c r="X122" s="342">
        <f t="shared" ref="X122:AC122" si="481">W122</f>
        <v>-388215</v>
      </c>
      <c r="Y122" s="341">
        <f>X122</f>
        <v>-388215</v>
      </c>
      <c r="Z122" s="341">
        <f t="shared" ref="Z122:AB122" si="482">Y122</f>
        <v>-388215</v>
      </c>
      <c r="AA122" s="341">
        <f t="shared" si="482"/>
        <v>-388215</v>
      </c>
      <c r="AB122" s="341">
        <f t="shared" si="482"/>
        <v>-388215</v>
      </c>
      <c r="AC122" s="342">
        <f t="shared" si="481"/>
        <v>-388215</v>
      </c>
      <c r="AD122" s="341">
        <f>AC122</f>
        <v>-388215</v>
      </c>
      <c r="AE122" s="341">
        <f t="shared" ref="AE122:AG122" si="483">AD122</f>
        <v>-388215</v>
      </c>
      <c r="AF122" s="341">
        <f t="shared" si="483"/>
        <v>-388215</v>
      </c>
      <c r="AG122" s="341">
        <f t="shared" si="483"/>
        <v>-388215</v>
      </c>
      <c r="AH122" s="342">
        <f t="shared" ref="AH122" si="484">AG122</f>
        <v>-388215</v>
      </c>
      <c r="AI122" s="341">
        <f>AH122</f>
        <v>-388215</v>
      </c>
      <c r="AJ122" s="341">
        <f t="shared" ref="AJ122:AL122" si="485">AI122</f>
        <v>-388215</v>
      </c>
      <c r="AK122" s="341">
        <f t="shared" si="485"/>
        <v>-388215</v>
      </c>
      <c r="AL122" s="341">
        <f t="shared" si="485"/>
        <v>-388215</v>
      </c>
      <c r="AM122" s="342">
        <f t="shared" ref="AM122" si="486">AL122</f>
        <v>-388215</v>
      </c>
      <c r="AN122" s="341">
        <f>AM122</f>
        <v>-388215</v>
      </c>
      <c r="AO122" s="341">
        <f t="shared" ref="AO122:AQ122" si="487">AN122</f>
        <v>-388215</v>
      </c>
      <c r="AP122" s="341">
        <f t="shared" si="487"/>
        <v>-388215</v>
      </c>
      <c r="AQ122" s="341">
        <f t="shared" si="487"/>
        <v>-388215</v>
      </c>
      <c r="AR122" s="342">
        <f t="shared" ref="AR122" si="488">AQ122</f>
        <v>-388215</v>
      </c>
      <c r="AS122" s="341">
        <f>AR122</f>
        <v>-388215</v>
      </c>
      <c r="AT122" s="341">
        <f t="shared" ref="AT122:AV122" si="489">AS122</f>
        <v>-388215</v>
      </c>
      <c r="AU122" s="341">
        <f t="shared" si="489"/>
        <v>-388215</v>
      </c>
      <c r="AV122" s="341">
        <f t="shared" si="489"/>
        <v>-388215</v>
      </c>
      <c r="AW122" s="342">
        <f t="shared" ref="AW122" si="490">AV122</f>
        <v>-388215</v>
      </c>
      <c r="AX122" s="143"/>
      <c r="AY122" s="143"/>
      <c r="AZ122" s="143"/>
      <c r="BA122" s="143"/>
      <c r="BB122" s="143"/>
      <c r="BC122" s="143"/>
      <c r="BD122" s="143"/>
      <c r="BE122" s="143"/>
      <c r="BF122" s="143"/>
      <c r="BG122" s="143"/>
      <c r="BH122" s="143"/>
      <c r="BI122" s="143"/>
      <c r="BJ122" s="143"/>
      <c r="BK122" s="143"/>
      <c r="BL122" s="143"/>
      <c r="BM122" s="143"/>
      <c r="BN122" s="143"/>
      <c r="BO122" s="143"/>
      <c r="BP122" s="143"/>
    </row>
    <row r="123" spans="2:68">
      <c r="B123" s="143"/>
      <c r="C123" s="143"/>
      <c r="D123" s="143" t="s">
        <v>65</v>
      </c>
      <c r="E123" s="312">
        <v>-4937094</v>
      </c>
      <c r="F123" s="312">
        <v>-4763207</v>
      </c>
      <c r="G123" s="312">
        <v>-4624304</v>
      </c>
      <c r="H123" s="312">
        <v>-4471405</v>
      </c>
      <c r="I123" s="354">
        <f t="shared" si="385"/>
        <v>-4471405</v>
      </c>
      <c r="J123" s="312">
        <v>-4336293</v>
      </c>
      <c r="K123" s="312">
        <v>-4225443</v>
      </c>
      <c r="L123" s="312">
        <v>-4102466</v>
      </c>
      <c r="M123" s="312">
        <v>-3953556</v>
      </c>
      <c r="N123" s="354">
        <f t="shared" si="386"/>
        <v>-3953556</v>
      </c>
      <c r="O123" s="312">
        <v>-3892212</v>
      </c>
      <c r="P123" s="312">
        <v>-3786483</v>
      </c>
      <c r="Q123" s="312">
        <v>-3788991</v>
      </c>
      <c r="R123" s="312">
        <v>-3659522</v>
      </c>
      <c r="S123" s="354">
        <f t="shared" si="480"/>
        <v>-3659522</v>
      </c>
      <c r="T123" s="312">
        <v>-3572648</v>
      </c>
      <c r="U123" s="312">
        <v>-3447938</v>
      </c>
      <c r="V123" s="312">
        <v>-3242852</v>
      </c>
      <c r="W123" s="347">
        <f>V123+W59</f>
        <v>-3029254</v>
      </c>
      <c r="X123" s="342">
        <f>W123</f>
        <v>-3029254</v>
      </c>
      <c r="Y123" s="347">
        <f>X123+Y59</f>
        <v>-2854402.8873122209</v>
      </c>
      <c r="Z123" s="347">
        <f t="shared" ref="Z123:AB123" si="491">Y123+Z59</f>
        <v>-2670029.6301797228</v>
      </c>
      <c r="AA123" s="347">
        <f t="shared" si="491"/>
        <v>-2471281.3348568706</v>
      </c>
      <c r="AB123" s="347">
        <f t="shared" si="491"/>
        <v>-2255905.8581245248</v>
      </c>
      <c r="AC123" s="342">
        <f>AB123</f>
        <v>-2255905.8581245248</v>
      </c>
      <c r="AD123" s="347">
        <f>AC123+AD59</f>
        <v>-2066106.4953128139</v>
      </c>
      <c r="AE123" s="347">
        <f t="shared" ref="AE123:AG123" si="492">AD123+AE59</f>
        <v>-1863106.038589454</v>
      </c>
      <c r="AF123" s="347">
        <f t="shared" si="492"/>
        <v>-1641469.3830511211</v>
      </c>
      <c r="AG123" s="347">
        <f t="shared" si="492"/>
        <v>-1401462.0744297758</v>
      </c>
      <c r="AH123" s="342">
        <f>AG123</f>
        <v>-1401462.0744297758</v>
      </c>
      <c r="AI123" s="347">
        <f>AH123+AI59</f>
        <v>-1196101.8576338722</v>
      </c>
      <c r="AJ123" s="347">
        <f t="shared" ref="AJ123:AL123" si="493">AI123+AJ59</f>
        <v>-973568.76276344294</v>
      </c>
      <c r="AK123" s="347">
        <f t="shared" si="493"/>
        <v>-727671.78159544745</v>
      </c>
      <c r="AL123" s="347">
        <f t="shared" si="493"/>
        <v>-461516.4822132127</v>
      </c>
      <c r="AM123" s="342">
        <f>AL123</f>
        <v>-461516.4822132127</v>
      </c>
      <c r="AN123" s="347">
        <f>AM123+AN59</f>
        <v>-240274.1500422961</v>
      </c>
      <c r="AO123" s="347">
        <f t="shared" ref="AO123:AQ123" si="494">AN123+AO59</f>
        <v>2353.21471617106</v>
      </c>
      <c r="AP123" s="347">
        <f t="shared" si="494"/>
        <v>273486.93358382303</v>
      </c>
      <c r="AQ123" s="347">
        <f t="shared" si="494"/>
        <v>566892.3027383897</v>
      </c>
      <c r="AR123" s="342">
        <f>AQ123</f>
        <v>566892.3027383897</v>
      </c>
      <c r="AS123" s="347">
        <f>AR123+AS59</f>
        <v>804091.14969998202</v>
      </c>
      <c r="AT123" s="347">
        <f t="shared" ref="AT123:AV123" si="495">AS123+AT59</f>
        <v>1067069.4802638937</v>
      </c>
      <c r="AU123" s="347">
        <f t="shared" si="495"/>
        <v>1364044.8884453997</v>
      </c>
      <c r="AV123" s="347">
        <f t="shared" si="495"/>
        <v>1685408.5429431254</v>
      </c>
      <c r="AW123" s="342">
        <f>AV123</f>
        <v>1685408.5429431254</v>
      </c>
      <c r="AX123" s="143"/>
      <c r="AY123" s="143"/>
      <c r="AZ123" s="143"/>
      <c r="BA123" s="143"/>
      <c r="BB123" s="143"/>
      <c r="BC123" s="143"/>
      <c r="BD123" s="143"/>
      <c r="BE123" s="143"/>
      <c r="BF123" s="143"/>
      <c r="BG123" s="143"/>
      <c r="BH123" s="143"/>
      <c r="BI123" s="143"/>
      <c r="BJ123" s="143"/>
      <c r="BK123" s="143"/>
      <c r="BL123" s="143"/>
      <c r="BM123" s="143"/>
      <c r="BN123" s="143"/>
      <c r="BO123" s="143"/>
      <c r="BP123" s="143"/>
    </row>
    <row r="124" spans="2:68">
      <c r="B124" s="143"/>
      <c r="C124" s="143"/>
      <c r="D124" s="143" t="s">
        <v>66</v>
      </c>
      <c r="E124" s="312">
        <v>-126156</v>
      </c>
      <c r="F124" s="312">
        <v>-119576</v>
      </c>
      <c r="G124" s="312">
        <v>-127692</v>
      </c>
      <c r="H124" s="312">
        <v>-165643</v>
      </c>
      <c r="I124" s="354">
        <f t="shared" si="385"/>
        <v>-165643</v>
      </c>
      <c r="J124" s="312">
        <v>-180505</v>
      </c>
      <c r="K124" s="312">
        <v>-164893</v>
      </c>
      <c r="L124" s="312">
        <v>-200704</v>
      </c>
      <c r="M124" s="312">
        <v>-160144</v>
      </c>
      <c r="N124" s="354">
        <f t="shared" si="386"/>
        <v>-160144</v>
      </c>
      <c r="O124" s="312">
        <v>-135915</v>
      </c>
      <c r="P124" s="312">
        <v>-124706</v>
      </c>
      <c r="Q124" s="312">
        <v>-122552</v>
      </c>
      <c r="R124" s="312">
        <v>-159165</v>
      </c>
      <c r="S124" s="354">
        <f t="shared" si="480"/>
        <v>-159165</v>
      </c>
      <c r="T124" s="312">
        <v>-128143</v>
      </c>
      <c r="U124" s="312">
        <v>-119476</v>
      </c>
      <c r="V124" s="312">
        <v>-123873</v>
      </c>
      <c r="W124" s="341">
        <f>V124</f>
        <v>-123873</v>
      </c>
      <c r="X124" s="342">
        <f>W124</f>
        <v>-123873</v>
      </c>
      <c r="Y124" s="341">
        <f>X124</f>
        <v>-123873</v>
      </c>
      <c r="Z124" s="341">
        <f t="shared" ref="Z124:AB124" si="496">Y124</f>
        <v>-123873</v>
      </c>
      <c r="AA124" s="341">
        <f t="shared" si="496"/>
        <v>-123873</v>
      </c>
      <c r="AB124" s="341">
        <f t="shared" si="496"/>
        <v>-123873</v>
      </c>
      <c r="AC124" s="342">
        <f>AB124</f>
        <v>-123873</v>
      </c>
      <c r="AD124" s="341">
        <f>AC124</f>
        <v>-123873</v>
      </c>
      <c r="AE124" s="341">
        <f t="shared" ref="AE124:AG124" si="497">AD124</f>
        <v>-123873</v>
      </c>
      <c r="AF124" s="341">
        <f t="shared" si="497"/>
        <v>-123873</v>
      </c>
      <c r="AG124" s="341">
        <f t="shared" si="497"/>
        <v>-123873</v>
      </c>
      <c r="AH124" s="342">
        <f>AG124</f>
        <v>-123873</v>
      </c>
      <c r="AI124" s="341">
        <f>AH124</f>
        <v>-123873</v>
      </c>
      <c r="AJ124" s="341">
        <f t="shared" ref="AJ124:AL124" si="498">AI124</f>
        <v>-123873</v>
      </c>
      <c r="AK124" s="341">
        <f t="shared" si="498"/>
        <v>-123873</v>
      </c>
      <c r="AL124" s="341">
        <f t="shared" si="498"/>
        <v>-123873</v>
      </c>
      <c r="AM124" s="342">
        <f>AL124</f>
        <v>-123873</v>
      </c>
      <c r="AN124" s="341">
        <f>AM124</f>
        <v>-123873</v>
      </c>
      <c r="AO124" s="341">
        <f t="shared" ref="AO124:AQ124" si="499">AN124</f>
        <v>-123873</v>
      </c>
      <c r="AP124" s="341">
        <f t="shared" si="499"/>
        <v>-123873</v>
      </c>
      <c r="AQ124" s="341">
        <f t="shared" si="499"/>
        <v>-123873</v>
      </c>
      <c r="AR124" s="342">
        <f>AQ124</f>
        <v>-123873</v>
      </c>
      <c r="AS124" s="341">
        <f>AR124</f>
        <v>-123873</v>
      </c>
      <c r="AT124" s="341">
        <f t="shared" ref="AT124:AV124" si="500">AS124</f>
        <v>-123873</v>
      </c>
      <c r="AU124" s="341">
        <f t="shared" si="500"/>
        <v>-123873</v>
      </c>
      <c r="AV124" s="341">
        <f t="shared" si="500"/>
        <v>-123873</v>
      </c>
      <c r="AW124" s="342">
        <f>AV124</f>
        <v>-123873</v>
      </c>
      <c r="AX124" s="143"/>
      <c r="AY124" s="143"/>
      <c r="AZ124" s="143"/>
      <c r="BA124" s="143"/>
      <c r="BB124" s="143"/>
      <c r="BC124" s="143"/>
      <c r="BD124" s="143"/>
      <c r="BE124" s="143"/>
      <c r="BF124" s="143"/>
      <c r="BG124" s="143"/>
      <c r="BH124" s="143"/>
      <c r="BI124" s="143"/>
      <c r="BJ124" s="143"/>
      <c r="BK124" s="143"/>
      <c r="BL124" s="143"/>
      <c r="BM124" s="143"/>
      <c r="BN124" s="143"/>
      <c r="BO124" s="143"/>
      <c r="BP124" s="143"/>
    </row>
    <row r="125" spans="2:68" s="71" customFormat="1">
      <c r="B125" s="146"/>
      <c r="C125" s="146"/>
      <c r="D125" s="146" t="s">
        <v>67</v>
      </c>
      <c r="E125" s="315">
        <f>SUM(E121:E124)</f>
        <v>2163050</v>
      </c>
      <c r="F125" s="315">
        <f>SUM(F121:F124)</f>
        <v>2262260</v>
      </c>
      <c r="G125" s="315">
        <f>SUM(G121:G124)</f>
        <v>2304554</v>
      </c>
      <c r="H125" s="315">
        <f>SUM(H121:H124)</f>
        <v>2351092</v>
      </c>
      <c r="I125" s="354">
        <f t="shared" si="385"/>
        <v>2351092</v>
      </c>
      <c r="J125" s="315">
        <f>SUM(J121:J124)</f>
        <v>2360814</v>
      </c>
      <c r="K125" s="315">
        <f>SUM(K121:K124)</f>
        <v>2451660</v>
      </c>
      <c r="L125" s="315">
        <f>SUM(L121:L124)</f>
        <v>2420128</v>
      </c>
      <c r="M125" s="315">
        <f>SUM(M121:M124)</f>
        <v>2543255</v>
      </c>
      <c r="N125" s="354">
        <f t="shared" si="386"/>
        <v>2543255</v>
      </c>
      <c r="O125" s="315">
        <f>SUM(O121:O124)</f>
        <v>2570872</v>
      </c>
      <c r="P125" s="315">
        <v>2623407</v>
      </c>
      <c r="Q125" s="315">
        <v>2561866</v>
      </c>
      <c r="R125" s="315">
        <v>2599895</v>
      </c>
      <c r="S125" s="354">
        <f t="shared" si="480"/>
        <v>2599895</v>
      </c>
      <c r="T125" s="315">
        <v>2644533</v>
      </c>
      <c r="U125" s="315">
        <v>2722203</v>
      </c>
      <c r="V125" s="315">
        <v>2872285</v>
      </c>
      <c r="W125" s="346">
        <f>SUM(W121:W124)</f>
        <v>3085883</v>
      </c>
      <c r="X125" s="344">
        <f>W125</f>
        <v>3085883</v>
      </c>
      <c r="Y125" s="346">
        <f>SUM(Y121:Y124)</f>
        <v>3260734.1126877791</v>
      </c>
      <c r="Z125" s="346">
        <f t="shared" ref="Z125:AB125" si="501">SUM(Z121:Z124)</f>
        <v>3445107.3698202772</v>
      </c>
      <c r="AA125" s="346">
        <f t="shared" si="501"/>
        <v>3643855.6651431294</v>
      </c>
      <c r="AB125" s="346">
        <f t="shared" si="501"/>
        <v>3859231.1418754752</v>
      </c>
      <c r="AC125" s="344">
        <f>AB125</f>
        <v>3859231.1418754752</v>
      </c>
      <c r="AD125" s="346">
        <f>SUM(AD121:AD124)</f>
        <v>4049030.5046871863</v>
      </c>
      <c r="AE125" s="346">
        <f t="shared" ref="AE125" si="502">SUM(AE121:AE124)</f>
        <v>4252030.9614105457</v>
      </c>
      <c r="AF125" s="346">
        <f t="shared" ref="AF125" si="503">SUM(AF121:AF124)</f>
        <v>4473667.6169488784</v>
      </c>
      <c r="AG125" s="346">
        <f t="shared" ref="AG125" si="504">SUM(AG121:AG124)</f>
        <v>4713674.9255702244</v>
      </c>
      <c r="AH125" s="344">
        <f>AG125</f>
        <v>4713674.9255702244</v>
      </c>
      <c r="AI125" s="346">
        <f>SUM(AI121:AI124)</f>
        <v>4919035.142366128</v>
      </c>
      <c r="AJ125" s="346">
        <f t="shared" ref="AJ125" si="505">SUM(AJ121:AJ124)</f>
        <v>5141568.2372365575</v>
      </c>
      <c r="AK125" s="346">
        <f t="shared" ref="AK125" si="506">SUM(AK121:AK124)</f>
        <v>5387465.2184045529</v>
      </c>
      <c r="AL125" s="346">
        <f t="shared" ref="AL125" si="507">SUM(AL121:AL124)</f>
        <v>5653620.5177867869</v>
      </c>
      <c r="AM125" s="344">
        <f>AL125</f>
        <v>5653620.5177867869</v>
      </c>
      <c r="AN125" s="346">
        <f>SUM(AN121:AN124)</f>
        <v>5874862.8499577036</v>
      </c>
      <c r="AO125" s="346">
        <f t="shared" ref="AO125" si="508">SUM(AO121:AO124)</f>
        <v>6117490.2147161709</v>
      </c>
      <c r="AP125" s="346">
        <f t="shared" ref="AP125" si="509">SUM(AP121:AP124)</f>
        <v>6388623.933583823</v>
      </c>
      <c r="AQ125" s="346">
        <f t="shared" ref="AQ125" si="510">SUM(AQ121:AQ124)</f>
        <v>6682029.3027383899</v>
      </c>
      <c r="AR125" s="344">
        <f>AQ125</f>
        <v>6682029.3027383899</v>
      </c>
      <c r="AS125" s="346">
        <f>SUM(AS121:AS124)</f>
        <v>6919228.1496999823</v>
      </c>
      <c r="AT125" s="346">
        <f t="shared" ref="AT125" si="511">SUM(AT121:AT124)</f>
        <v>7182206.4802638935</v>
      </c>
      <c r="AU125" s="346">
        <f t="shared" ref="AU125" si="512">SUM(AU121:AU124)</f>
        <v>7479181.8884453997</v>
      </c>
      <c r="AV125" s="346">
        <f t="shared" ref="AV125" si="513">SUM(AV121:AV124)</f>
        <v>7800545.5429431256</v>
      </c>
      <c r="AW125" s="344">
        <f>AV125</f>
        <v>7800545.5429431256</v>
      </c>
      <c r="AX125" s="146"/>
      <c r="AY125" s="146"/>
      <c r="AZ125" s="146"/>
      <c r="BA125" s="146"/>
      <c r="BB125" s="146"/>
      <c r="BC125" s="146"/>
      <c r="BD125" s="146"/>
      <c r="BE125" s="146"/>
      <c r="BF125" s="146"/>
      <c r="BG125" s="146"/>
      <c r="BH125" s="146"/>
      <c r="BI125" s="146"/>
      <c r="BJ125" s="146"/>
      <c r="BK125" s="146"/>
      <c r="BL125" s="146"/>
      <c r="BM125" s="146"/>
      <c r="BN125" s="146"/>
      <c r="BO125" s="146"/>
      <c r="BP125" s="146"/>
    </row>
    <row r="126" spans="2:68">
      <c r="B126" s="143"/>
      <c r="C126" s="143"/>
      <c r="D126" s="185" t="s">
        <v>71</v>
      </c>
      <c r="E126" s="337">
        <v>38629</v>
      </c>
      <c r="F126" s="337">
        <v>38608</v>
      </c>
      <c r="G126" s="337">
        <v>38300</v>
      </c>
      <c r="H126" s="337">
        <v>37753</v>
      </c>
      <c r="I126" s="390">
        <f t="shared" si="385"/>
        <v>37753</v>
      </c>
      <c r="J126" s="337">
        <v>35436</v>
      </c>
      <c r="K126" s="337">
        <v>35896</v>
      </c>
      <c r="L126" s="337">
        <v>35447</v>
      </c>
      <c r="M126" s="337">
        <v>35177</v>
      </c>
      <c r="N126" s="390">
        <f t="shared" si="386"/>
        <v>35177</v>
      </c>
      <c r="O126" s="337">
        <v>34658</v>
      </c>
      <c r="P126" s="337">
        <v>43187</v>
      </c>
      <c r="Q126" s="337">
        <v>42442</v>
      </c>
      <c r="R126" s="337">
        <v>41602</v>
      </c>
      <c r="S126" s="390">
        <f t="shared" si="480"/>
        <v>41602</v>
      </c>
      <c r="T126" s="337">
        <v>33743</v>
      </c>
      <c r="U126" s="337">
        <v>87575</v>
      </c>
      <c r="V126" s="337" t="s">
        <v>108</v>
      </c>
      <c r="W126" s="186" t="s">
        <v>108</v>
      </c>
      <c r="X126" s="345" t="s">
        <v>108</v>
      </c>
      <c r="Y126" s="186" t="s">
        <v>108</v>
      </c>
      <c r="Z126" s="186" t="s">
        <v>108</v>
      </c>
      <c r="AA126" s="186" t="s">
        <v>108</v>
      </c>
      <c r="AB126" s="186" t="s">
        <v>108</v>
      </c>
      <c r="AC126" s="195" t="s">
        <v>108</v>
      </c>
      <c r="AD126" s="186" t="s">
        <v>108</v>
      </c>
      <c r="AE126" s="186" t="s">
        <v>108</v>
      </c>
      <c r="AF126" s="186" t="s">
        <v>108</v>
      </c>
      <c r="AG126" s="186" t="s">
        <v>108</v>
      </c>
      <c r="AH126" s="195" t="s">
        <v>108</v>
      </c>
      <c r="AI126" s="186" t="s">
        <v>108</v>
      </c>
      <c r="AJ126" s="186" t="s">
        <v>108</v>
      </c>
      <c r="AK126" s="186" t="s">
        <v>108</v>
      </c>
      <c r="AL126" s="186" t="s">
        <v>108</v>
      </c>
      <c r="AM126" s="195" t="s">
        <v>108</v>
      </c>
      <c r="AN126" s="186" t="s">
        <v>108</v>
      </c>
      <c r="AO126" s="186" t="s">
        <v>108</v>
      </c>
      <c r="AP126" s="186" t="s">
        <v>108</v>
      </c>
      <c r="AQ126" s="186" t="s">
        <v>108</v>
      </c>
      <c r="AR126" s="195" t="s">
        <v>108</v>
      </c>
      <c r="AS126" s="186" t="s">
        <v>108</v>
      </c>
      <c r="AT126" s="186" t="s">
        <v>108</v>
      </c>
      <c r="AU126" s="186" t="s">
        <v>108</v>
      </c>
      <c r="AV126" s="186" t="s">
        <v>108</v>
      </c>
      <c r="AW126" s="195" t="s">
        <v>108</v>
      </c>
      <c r="AX126" s="143"/>
      <c r="AY126" s="143"/>
      <c r="AZ126" s="143"/>
      <c r="BA126" s="143"/>
      <c r="BB126" s="143"/>
      <c r="BC126" s="143"/>
      <c r="BD126" s="143"/>
      <c r="BE126" s="143"/>
      <c r="BF126" s="143"/>
      <c r="BG126" s="143"/>
      <c r="BH126" s="143"/>
      <c r="BI126" s="143"/>
      <c r="BJ126" s="143"/>
      <c r="BK126" s="143"/>
      <c r="BL126" s="143"/>
      <c r="BM126" s="143"/>
      <c r="BN126" s="143"/>
      <c r="BO126" s="143"/>
      <c r="BP126" s="143"/>
    </row>
    <row r="127" spans="2:68" s="71" customFormat="1">
      <c r="B127" s="146"/>
      <c r="C127" s="146"/>
      <c r="D127" s="146" t="s">
        <v>69</v>
      </c>
      <c r="E127" s="315">
        <f>E116+E126+E125+SUM(E118:E119)</f>
        <v>12500150</v>
      </c>
      <c r="F127" s="315">
        <f>F116+F126+F125+SUM(F118:F119)</f>
        <v>12067824</v>
      </c>
      <c r="G127" s="315">
        <f>G116+G126+G125+SUM(G118:G119)</f>
        <v>11919873</v>
      </c>
      <c r="H127" s="315">
        <f>H116+H126+H125+SUM(H118:H119)</f>
        <v>12090473</v>
      </c>
      <c r="I127" s="354">
        <f t="shared" si="385"/>
        <v>12090473</v>
      </c>
      <c r="J127" s="315">
        <f>J116+J126+J125+SUM(J118:J119)</f>
        <v>11665624</v>
      </c>
      <c r="K127" s="315">
        <f>K116+K126+K125+SUM(K118:K119)</f>
        <v>12100180</v>
      </c>
      <c r="L127" s="315">
        <f>L116+L126+L125+SUM(L118:L119)</f>
        <v>12660339</v>
      </c>
      <c r="M127" s="315">
        <f>M116+M126+M125+SUM(M118:M119)</f>
        <v>13049518</v>
      </c>
      <c r="N127" s="354">
        <f t="shared" si="386"/>
        <v>13049518</v>
      </c>
      <c r="O127" s="315">
        <f>O116+O126+O125+SUM(O118:O119)</f>
        <v>12384981</v>
      </c>
      <c r="P127" s="315">
        <f>P116+P126+P125+SUM(P118:P119)</f>
        <v>12508524</v>
      </c>
      <c r="Q127" s="315">
        <f t="shared" ref="Q127:U127" si="514">Q116+Q126+Q125+SUM(Q118:Q119)</f>
        <v>12661134</v>
      </c>
      <c r="R127" s="315">
        <f t="shared" si="514"/>
        <v>12803049</v>
      </c>
      <c r="S127" s="354">
        <f t="shared" si="514"/>
        <v>12803049</v>
      </c>
      <c r="T127" s="315">
        <f t="shared" si="514"/>
        <v>12593363</v>
      </c>
      <c r="U127" s="315">
        <f t="shared" si="514"/>
        <v>13016988</v>
      </c>
      <c r="V127" s="315">
        <f>V116+V118+V119+V125</f>
        <v>13561906</v>
      </c>
      <c r="W127" s="346">
        <f>W116+W118+W119+W125</f>
        <v>13733702.371284848</v>
      </c>
      <c r="X127" s="344">
        <f>W127</f>
        <v>13733702.371284848</v>
      </c>
      <c r="Y127" s="346">
        <f>Y116+Y118+Y119+Y125</f>
        <v>13369836.427227473</v>
      </c>
      <c r="Z127" s="346">
        <f t="shared" ref="Z127:AB127" si="515">Z116+Z118+Z119+Z125</f>
        <v>13795142.89302608</v>
      </c>
      <c r="AA127" s="346">
        <f t="shared" si="515"/>
        <v>14286245.532182481</v>
      </c>
      <c r="AB127" s="346">
        <f t="shared" si="515"/>
        <v>14619482.570253106</v>
      </c>
      <c r="AC127" s="344">
        <f>AB127</f>
        <v>14619482.570253106</v>
      </c>
      <c r="AD127" s="346">
        <f>AD116+AD118+AD119+AD125</f>
        <v>14379815.612136463</v>
      </c>
      <c r="AE127" s="346">
        <f t="shared" ref="AE127:AG127" si="516">AE116+AE118+AE119+AE125</f>
        <v>14880514.733214591</v>
      </c>
      <c r="AF127" s="346">
        <f t="shared" si="516"/>
        <v>15521424.11516276</v>
      </c>
      <c r="AG127" s="346">
        <f t="shared" si="516"/>
        <v>15963514.340873834</v>
      </c>
      <c r="AH127" s="344">
        <f>AG127</f>
        <v>15963514.340873834</v>
      </c>
      <c r="AI127" s="346">
        <f>AI116+AI118+AI119+AI125</f>
        <v>15539725.734065136</v>
      </c>
      <c r="AJ127" s="346">
        <f t="shared" ref="AJ127:AL127" si="517">AJ116+AJ118+AJ119+AJ125</f>
        <v>16159825.902460949</v>
      </c>
      <c r="AK127" s="346">
        <f t="shared" si="517"/>
        <v>16933361.918823149</v>
      </c>
      <c r="AL127" s="346">
        <f t="shared" si="517"/>
        <v>17323904.306994729</v>
      </c>
      <c r="AM127" s="344">
        <f>AL127</f>
        <v>17323904.306994729</v>
      </c>
      <c r="AN127" s="346">
        <f>AN116+AN118+AN119+AN125</f>
        <v>16746900.728845146</v>
      </c>
      <c r="AO127" s="346">
        <f t="shared" ref="AO127:AQ127" si="518">AO116+AO118+AO119+AO125</f>
        <v>17424783.868119985</v>
      </c>
      <c r="AP127" s="346">
        <f t="shared" si="518"/>
        <v>18260712.733333826</v>
      </c>
      <c r="AQ127" s="346">
        <f t="shared" si="518"/>
        <v>18740083.818128068</v>
      </c>
      <c r="AR127" s="344">
        <f>AQ127</f>
        <v>18740083.818128068</v>
      </c>
      <c r="AS127" s="346">
        <f>AS116+AS118+AS119+AS125</f>
        <v>18065897.309699032</v>
      </c>
      <c r="AT127" s="346">
        <f t="shared" ref="AT127:AV127" si="519">AT116+AT118+AT119+AT125</f>
        <v>18837447.653614148</v>
      </c>
      <c r="AU127" s="346">
        <f t="shared" si="519"/>
        <v>19808109.475341856</v>
      </c>
      <c r="AV127" s="346">
        <f t="shared" si="519"/>
        <v>20342395.700122304</v>
      </c>
      <c r="AW127" s="344">
        <f>AV127</f>
        <v>20342395.700122304</v>
      </c>
      <c r="AX127" s="146"/>
      <c r="AY127" s="146"/>
      <c r="AZ127" s="146"/>
      <c r="BA127" s="146"/>
      <c r="BB127" s="146"/>
      <c r="BC127" s="146"/>
      <c r="BD127" s="146"/>
      <c r="BE127" s="146"/>
      <c r="BF127" s="146"/>
      <c r="BG127" s="146"/>
      <c r="BH127" s="146"/>
      <c r="BI127" s="146"/>
      <c r="BJ127" s="146"/>
      <c r="BK127" s="146"/>
      <c r="BL127" s="146"/>
      <c r="BM127" s="146"/>
      <c r="BN127" s="146"/>
      <c r="BO127" s="146"/>
      <c r="BP127" s="146"/>
    </row>
    <row r="128" spans="2:68">
      <c r="B128" s="143"/>
      <c r="C128" s="143"/>
      <c r="D128" s="143"/>
      <c r="E128" s="154"/>
      <c r="F128" s="154"/>
      <c r="G128" s="154"/>
      <c r="H128" s="154"/>
      <c r="I128" s="147"/>
      <c r="J128" s="154"/>
      <c r="K128" s="154"/>
      <c r="L128" s="154"/>
      <c r="M128" s="154"/>
      <c r="N128" s="147"/>
      <c r="O128" s="154"/>
      <c r="P128" s="154"/>
      <c r="Q128" s="154"/>
      <c r="R128" s="154"/>
      <c r="S128" s="147"/>
      <c r="T128" s="154"/>
      <c r="U128" s="154"/>
      <c r="V128" s="154"/>
      <c r="W128" s="187"/>
      <c r="X128" s="187"/>
      <c r="Y128" s="187"/>
      <c r="Z128" s="187"/>
      <c r="AA128" s="187"/>
      <c r="AB128" s="187"/>
      <c r="AC128" s="187"/>
      <c r="AD128" s="187"/>
      <c r="AE128" s="187"/>
      <c r="AF128" s="187"/>
      <c r="AG128" s="187"/>
      <c r="AH128" s="187"/>
      <c r="AI128" s="187"/>
      <c r="AJ128" s="187"/>
      <c r="AK128" s="187"/>
      <c r="AL128" s="187"/>
      <c r="AM128" s="187"/>
      <c r="AN128" s="187"/>
      <c r="AO128" s="187"/>
      <c r="AP128" s="187"/>
      <c r="AQ128" s="187"/>
      <c r="AR128" s="187"/>
      <c r="AS128" s="187"/>
      <c r="AT128" s="187"/>
      <c r="AU128" s="187"/>
      <c r="AV128" s="187"/>
      <c r="AW128" s="187"/>
      <c r="AX128" s="143"/>
      <c r="AY128" s="143"/>
      <c r="AZ128" s="143"/>
      <c r="BA128" s="143"/>
      <c r="BB128" s="143"/>
      <c r="BC128" s="143"/>
      <c r="BD128" s="143"/>
      <c r="BE128" s="143"/>
      <c r="BF128" s="143"/>
      <c r="BG128" s="143"/>
      <c r="BH128" s="143"/>
      <c r="BI128" s="143"/>
      <c r="BJ128" s="143"/>
      <c r="BK128" s="143"/>
      <c r="BL128" s="143"/>
      <c r="BM128" s="143"/>
      <c r="BN128" s="143"/>
      <c r="BO128" s="143"/>
      <c r="BP128" s="143"/>
    </row>
    <row r="129" spans="2:68">
      <c r="B129" s="143"/>
      <c r="C129" s="143"/>
      <c r="D129" s="143" t="s">
        <v>70</v>
      </c>
      <c r="E129" s="338" t="str">
        <f>IF(E127=E110,"Balanced",E127-E110)</f>
        <v>Balanced</v>
      </c>
      <c r="F129" s="338" t="str">
        <f t="shared" ref="F129:AW129" si="520">IF(F127=F110,"Balanced",F127-F110)</f>
        <v>Balanced</v>
      </c>
      <c r="G129" s="338" t="str">
        <f t="shared" si="520"/>
        <v>Balanced</v>
      </c>
      <c r="H129" s="338" t="str">
        <f t="shared" si="520"/>
        <v>Balanced</v>
      </c>
      <c r="I129" s="338" t="str">
        <f t="shared" si="520"/>
        <v>Balanced</v>
      </c>
      <c r="J129" s="338" t="str">
        <f t="shared" si="520"/>
        <v>Balanced</v>
      </c>
      <c r="K129" s="338" t="str">
        <f t="shared" si="520"/>
        <v>Balanced</v>
      </c>
      <c r="L129" s="338" t="str">
        <f t="shared" si="520"/>
        <v>Balanced</v>
      </c>
      <c r="M129" s="338" t="str">
        <f t="shared" si="520"/>
        <v>Balanced</v>
      </c>
      <c r="N129" s="338" t="str">
        <f t="shared" si="520"/>
        <v>Balanced</v>
      </c>
      <c r="O129" s="338" t="str">
        <f t="shared" si="520"/>
        <v>Balanced</v>
      </c>
      <c r="P129" s="338" t="str">
        <f t="shared" si="520"/>
        <v>Balanced</v>
      </c>
      <c r="Q129" s="338" t="str">
        <f t="shared" si="520"/>
        <v>Balanced</v>
      </c>
      <c r="R129" s="338" t="str">
        <f t="shared" si="520"/>
        <v>Balanced</v>
      </c>
      <c r="S129" s="338" t="str">
        <f t="shared" si="520"/>
        <v>Balanced</v>
      </c>
      <c r="T129" s="338" t="str">
        <f t="shared" si="520"/>
        <v>Balanced</v>
      </c>
      <c r="U129" s="338" t="str">
        <f t="shared" si="520"/>
        <v>Balanced</v>
      </c>
      <c r="V129" s="338" t="str">
        <f t="shared" si="520"/>
        <v>Balanced</v>
      </c>
      <c r="W129" s="338" t="str">
        <f t="shared" si="520"/>
        <v>Balanced</v>
      </c>
      <c r="X129" s="338" t="str">
        <f t="shared" si="520"/>
        <v>Balanced</v>
      </c>
      <c r="Y129" s="338" t="str">
        <f t="shared" si="520"/>
        <v>Balanced</v>
      </c>
      <c r="Z129" s="338" t="str">
        <f t="shared" si="520"/>
        <v>Balanced</v>
      </c>
      <c r="AA129" s="338" t="str">
        <f t="shared" si="520"/>
        <v>Balanced</v>
      </c>
      <c r="AB129" s="338" t="str">
        <f t="shared" si="520"/>
        <v>Balanced</v>
      </c>
      <c r="AC129" s="338" t="str">
        <f t="shared" si="520"/>
        <v>Balanced</v>
      </c>
      <c r="AD129" s="338" t="str">
        <f t="shared" si="520"/>
        <v>Balanced</v>
      </c>
      <c r="AE129" s="338" t="str">
        <f t="shared" si="520"/>
        <v>Balanced</v>
      </c>
      <c r="AF129" s="338" t="str">
        <f t="shared" si="520"/>
        <v>Balanced</v>
      </c>
      <c r="AG129" s="338" t="str">
        <f t="shared" si="520"/>
        <v>Balanced</v>
      </c>
      <c r="AH129" s="338" t="str">
        <f t="shared" si="520"/>
        <v>Balanced</v>
      </c>
      <c r="AI129" s="338" t="str">
        <f t="shared" si="520"/>
        <v>Balanced</v>
      </c>
      <c r="AJ129" s="338" t="str">
        <f t="shared" si="520"/>
        <v>Balanced</v>
      </c>
      <c r="AK129" s="338" t="str">
        <f t="shared" si="520"/>
        <v>Balanced</v>
      </c>
      <c r="AL129" s="338" t="str">
        <f t="shared" si="520"/>
        <v>Balanced</v>
      </c>
      <c r="AM129" s="338" t="str">
        <f t="shared" si="520"/>
        <v>Balanced</v>
      </c>
      <c r="AN129" s="338" t="str">
        <f t="shared" si="520"/>
        <v>Balanced</v>
      </c>
      <c r="AO129" s="338" t="str">
        <f t="shared" si="520"/>
        <v>Balanced</v>
      </c>
      <c r="AP129" s="338" t="str">
        <f t="shared" si="520"/>
        <v>Balanced</v>
      </c>
      <c r="AQ129" s="338" t="str">
        <f t="shared" si="520"/>
        <v>Balanced</v>
      </c>
      <c r="AR129" s="338" t="str">
        <f t="shared" si="520"/>
        <v>Balanced</v>
      </c>
      <c r="AS129" s="338" t="str">
        <f t="shared" si="520"/>
        <v>Balanced</v>
      </c>
      <c r="AT129" s="338" t="str">
        <f t="shared" si="520"/>
        <v>Balanced</v>
      </c>
      <c r="AU129" s="338" t="str">
        <f t="shared" si="520"/>
        <v>Balanced</v>
      </c>
      <c r="AV129" s="338" t="str">
        <f t="shared" si="520"/>
        <v>Balanced</v>
      </c>
      <c r="AW129" s="338" t="str">
        <f t="shared" si="520"/>
        <v>Balanced</v>
      </c>
      <c r="AX129" s="143"/>
      <c r="AY129" s="143"/>
      <c r="AZ129" s="143"/>
      <c r="BA129" s="143"/>
      <c r="BB129" s="143"/>
      <c r="BC129" s="143"/>
      <c r="BD129" s="143"/>
      <c r="BE129" s="143"/>
      <c r="BF129" s="143"/>
      <c r="BG129" s="143"/>
      <c r="BH129" s="143"/>
      <c r="BI129" s="143"/>
      <c r="BJ129" s="143"/>
      <c r="BK129" s="143"/>
      <c r="BL129" s="143"/>
      <c r="BM129" s="143"/>
      <c r="BN129" s="143"/>
      <c r="BO129" s="143"/>
      <c r="BP129" s="143"/>
    </row>
    <row r="130" spans="2:68">
      <c r="B130" s="143"/>
      <c r="C130" s="143"/>
      <c r="D130" s="143"/>
      <c r="E130" s="154"/>
      <c r="F130" s="154"/>
      <c r="G130" s="154"/>
      <c r="H130" s="154"/>
      <c r="I130" s="165"/>
      <c r="J130" s="154"/>
      <c r="K130" s="154"/>
      <c r="L130" s="154"/>
      <c r="M130" s="154"/>
      <c r="O130" s="154"/>
      <c r="P130" s="154"/>
      <c r="Q130" s="154"/>
      <c r="R130" s="154"/>
      <c r="S130" s="165"/>
      <c r="T130" s="154"/>
      <c r="U130" s="154"/>
      <c r="V130" s="154"/>
      <c r="W130" s="154"/>
      <c r="X130" s="154"/>
      <c r="Y130" s="154"/>
      <c r="Z130" s="154"/>
      <c r="AA130" s="154"/>
      <c r="AB130" s="154"/>
      <c r="AC130" s="154"/>
      <c r="AD130" s="154"/>
      <c r="AE130" s="154"/>
      <c r="AF130" s="154"/>
      <c r="AG130" s="154"/>
      <c r="AH130" s="154"/>
      <c r="AI130" s="154"/>
      <c r="AJ130" s="154"/>
      <c r="AK130" s="154"/>
      <c r="AL130" s="154"/>
      <c r="AM130" s="154"/>
      <c r="AN130" s="154"/>
      <c r="AO130" s="154"/>
      <c r="AP130" s="154"/>
      <c r="AQ130" s="154"/>
      <c r="AR130" s="154"/>
      <c r="AS130" s="154"/>
      <c r="AT130" s="154"/>
      <c r="AU130" s="154"/>
      <c r="AV130" s="154"/>
      <c r="AW130" s="154"/>
      <c r="AX130" s="143"/>
      <c r="AY130" s="143"/>
      <c r="AZ130" s="143"/>
      <c r="BA130" s="143"/>
      <c r="BB130" s="143"/>
      <c r="BC130" s="143"/>
      <c r="BD130" s="143"/>
      <c r="BE130" s="143"/>
      <c r="BF130" s="143"/>
      <c r="BG130" s="143"/>
      <c r="BH130" s="143"/>
      <c r="BI130" s="143"/>
      <c r="BJ130" s="143"/>
      <c r="BK130" s="143"/>
      <c r="BL130" s="143"/>
      <c r="BM130" s="143"/>
      <c r="BN130" s="143"/>
      <c r="BO130" s="143"/>
      <c r="BP130" s="143"/>
    </row>
    <row r="131" spans="2:68" s="71" customFormat="1">
      <c r="B131" s="146"/>
      <c r="C131" s="146"/>
      <c r="D131" s="146" t="s">
        <v>140</v>
      </c>
      <c r="E131" s="165"/>
      <c r="F131" s="165"/>
      <c r="G131" s="165"/>
      <c r="H131" s="165"/>
      <c r="I131" s="165"/>
      <c r="J131" s="165"/>
      <c r="K131" s="165"/>
      <c r="L131" s="165"/>
      <c r="M131" s="165"/>
      <c r="N131" s="165"/>
      <c r="O131" s="165"/>
      <c r="P131" s="165"/>
      <c r="Q131" s="165"/>
      <c r="R131" s="165"/>
      <c r="S131" s="165"/>
      <c r="T131" s="165"/>
      <c r="U131" s="165"/>
      <c r="V131" s="165"/>
      <c r="W131" s="165"/>
      <c r="X131" s="165"/>
      <c r="Y131" s="165"/>
      <c r="Z131" s="165"/>
      <c r="AA131" s="165"/>
      <c r="AB131" s="165"/>
      <c r="AC131" s="165"/>
      <c r="AD131" s="165"/>
      <c r="AE131" s="165"/>
      <c r="AF131" s="165"/>
      <c r="AG131" s="165"/>
      <c r="AH131" s="165"/>
      <c r="AI131" s="165"/>
      <c r="AJ131" s="165"/>
      <c r="AK131" s="165"/>
      <c r="AL131" s="165"/>
      <c r="AM131" s="165"/>
      <c r="AN131" s="165"/>
      <c r="AO131" s="165"/>
      <c r="AP131" s="165"/>
      <c r="AQ131" s="165"/>
      <c r="AR131" s="165"/>
      <c r="AS131" s="165"/>
      <c r="AT131" s="165"/>
      <c r="AU131" s="165"/>
      <c r="AV131" s="165"/>
      <c r="AW131" s="165"/>
      <c r="AX131" s="146"/>
      <c r="AY131" s="146"/>
      <c r="AZ131" s="146"/>
      <c r="BA131" s="146"/>
      <c r="BB131" s="146"/>
      <c r="BC131" s="146"/>
      <c r="BD131" s="146"/>
      <c r="BE131" s="146"/>
      <c r="BF131" s="146"/>
      <c r="BG131" s="146"/>
      <c r="BH131" s="146"/>
      <c r="BI131" s="146"/>
      <c r="BJ131" s="146"/>
      <c r="BK131" s="146"/>
      <c r="BL131" s="146"/>
      <c r="BM131" s="146"/>
      <c r="BN131" s="146"/>
      <c r="BO131" s="146"/>
      <c r="BP131" s="146"/>
    </row>
    <row r="132" spans="2:68">
      <c r="B132" s="143"/>
      <c r="C132" s="143"/>
      <c r="D132" s="143" t="s">
        <v>141</v>
      </c>
      <c r="E132" s="339">
        <f>365/4</f>
        <v>91.25</v>
      </c>
      <c r="F132" s="339">
        <f t="shared" ref="F132:H132" si="521">365/4</f>
        <v>91.25</v>
      </c>
      <c r="G132" s="339">
        <f t="shared" si="521"/>
        <v>91.25</v>
      </c>
      <c r="H132" s="339">
        <f t="shared" si="521"/>
        <v>91.25</v>
      </c>
      <c r="I132" s="339">
        <v>365</v>
      </c>
      <c r="J132" s="339">
        <f>365/4</f>
        <v>91.25</v>
      </c>
      <c r="K132" s="339">
        <f t="shared" ref="K132:M132" si="522">365/4</f>
        <v>91.25</v>
      </c>
      <c r="L132" s="339">
        <f t="shared" si="522"/>
        <v>91.25</v>
      </c>
      <c r="M132" s="339">
        <f t="shared" si="522"/>
        <v>91.25</v>
      </c>
      <c r="N132" s="339">
        <v>365</v>
      </c>
      <c r="O132" s="339">
        <f>365/4</f>
        <v>91.25</v>
      </c>
      <c r="P132" s="339">
        <f t="shared" ref="P132:R132" si="523">365/4</f>
        <v>91.25</v>
      </c>
      <c r="Q132" s="339">
        <f t="shared" si="523"/>
        <v>91.25</v>
      </c>
      <c r="R132" s="339">
        <f t="shared" si="523"/>
        <v>91.25</v>
      </c>
      <c r="S132" s="339">
        <v>365</v>
      </c>
      <c r="T132" s="339">
        <f>365/4</f>
        <v>91.25</v>
      </c>
      <c r="U132" s="339">
        <f t="shared" ref="U132:W132" si="524">365/4</f>
        <v>91.25</v>
      </c>
      <c r="V132" s="339">
        <f t="shared" si="524"/>
        <v>91.25</v>
      </c>
      <c r="W132" s="339">
        <f t="shared" si="524"/>
        <v>91.25</v>
      </c>
      <c r="X132" s="339">
        <v>365</v>
      </c>
      <c r="Y132" s="339">
        <f>365/4</f>
        <v>91.25</v>
      </c>
      <c r="Z132" s="339">
        <f t="shared" ref="Z132:AB132" si="525">365/4</f>
        <v>91.25</v>
      </c>
      <c r="AA132" s="339">
        <f t="shared" si="525"/>
        <v>91.25</v>
      </c>
      <c r="AB132" s="339">
        <f t="shared" si="525"/>
        <v>91.25</v>
      </c>
      <c r="AC132" s="339">
        <v>365</v>
      </c>
      <c r="AD132" s="339">
        <f>365/4</f>
        <v>91.25</v>
      </c>
      <c r="AE132" s="339">
        <f t="shared" ref="AE132:AG132" si="526">365/4</f>
        <v>91.25</v>
      </c>
      <c r="AF132" s="339">
        <f t="shared" si="526"/>
        <v>91.25</v>
      </c>
      <c r="AG132" s="339">
        <f t="shared" si="526"/>
        <v>91.25</v>
      </c>
      <c r="AH132" s="339">
        <v>365</v>
      </c>
      <c r="AI132" s="339">
        <f>365/4</f>
        <v>91.25</v>
      </c>
      <c r="AJ132" s="339">
        <f t="shared" ref="AJ132:AL132" si="527">365/4</f>
        <v>91.25</v>
      </c>
      <c r="AK132" s="339">
        <f t="shared" si="527"/>
        <v>91.25</v>
      </c>
      <c r="AL132" s="339">
        <f t="shared" si="527"/>
        <v>91.25</v>
      </c>
      <c r="AM132" s="339">
        <v>365</v>
      </c>
      <c r="AN132" s="339">
        <f>365/4</f>
        <v>91.25</v>
      </c>
      <c r="AO132" s="339">
        <f t="shared" ref="AO132:AQ132" si="528">365/4</f>
        <v>91.25</v>
      </c>
      <c r="AP132" s="339">
        <f t="shared" si="528"/>
        <v>91.25</v>
      </c>
      <c r="AQ132" s="339">
        <f t="shared" si="528"/>
        <v>91.25</v>
      </c>
      <c r="AR132" s="339">
        <v>365</v>
      </c>
      <c r="AS132" s="339">
        <f>365/4</f>
        <v>91.25</v>
      </c>
      <c r="AT132" s="339">
        <f t="shared" ref="AT132:AV132" si="529">365/4</f>
        <v>91.25</v>
      </c>
      <c r="AU132" s="339">
        <f t="shared" si="529"/>
        <v>91.25</v>
      </c>
      <c r="AV132" s="339">
        <f t="shared" si="529"/>
        <v>91.25</v>
      </c>
      <c r="AW132" s="339">
        <v>365</v>
      </c>
      <c r="AX132" s="143"/>
      <c r="AY132" s="143"/>
      <c r="AZ132" s="143"/>
      <c r="BA132" s="143"/>
      <c r="BB132" s="143"/>
      <c r="BC132" s="143"/>
      <c r="BD132" s="143"/>
      <c r="BE132" s="143"/>
      <c r="BF132" s="143"/>
      <c r="BG132" s="143"/>
      <c r="BH132" s="143"/>
      <c r="BI132" s="143"/>
      <c r="BJ132" s="143"/>
      <c r="BK132" s="143"/>
      <c r="BL132" s="143"/>
      <c r="BM132" s="143"/>
      <c r="BN132" s="143"/>
      <c r="BO132" s="143"/>
      <c r="BP132" s="143"/>
    </row>
    <row r="133" spans="2:68" s="78" customFormat="1">
      <c r="B133" s="188"/>
      <c r="C133" s="188"/>
      <c r="D133" s="188" t="s">
        <v>142</v>
      </c>
      <c r="E133" s="340">
        <f t="shared" ref="E133:V133" si="530">E132*E101/E5</f>
        <v>35.044731506690198</v>
      </c>
      <c r="F133" s="340">
        <f t="shared" si="530"/>
        <v>39.762817555092056</v>
      </c>
      <c r="G133" s="340">
        <f t="shared" si="530"/>
        <v>35.31855703217132</v>
      </c>
      <c r="H133" s="340">
        <f t="shared" si="530"/>
        <v>31.820650239841573</v>
      </c>
      <c r="I133" s="340">
        <f t="shared" si="530"/>
        <v>32.847984689969685</v>
      </c>
      <c r="J133" s="340">
        <f t="shared" si="530"/>
        <v>35.838807001478592</v>
      </c>
      <c r="K133" s="340">
        <f t="shared" si="530"/>
        <v>35.036979802193507</v>
      </c>
      <c r="L133" s="340">
        <f t="shared" si="530"/>
        <v>36.790433532243263</v>
      </c>
      <c r="M133" s="340">
        <f t="shared" si="530"/>
        <v>34.876056955185412</v>
      </c>
      <c r="N133" s="340">
        <f t="shared" si="530"/>
        <v>38.356775144040398</v>
      </c>
      <c r="O133" s="340">
        <f t="shared" si="530"/>
        <v>32.321814903533841</v>
      </c>
      <c r="P133" s="340">
        <f t="shared" si="530"/>
        <v>31.953934683645709</v>
      </c>
      <c r="Q133" s="340">
        <f t="shared" si="530"/>
        <v>35.558162985092018</v>
      </c>
      <c r="R133" s="340">
        <f t="shared" si="530"/>
        <v>32.273257526289051</v>
      </c>
      <c r="S133" s="340">
        <f t="shared" si="530"/>
        <v>33.205846455869015</v>
      </c>
      <c r="T133" s="340">
        <f t="shared" si="530"/>
        <v>34.128943197016611</v>
      </c>
      <c r="U133" s="340">
        <f t="shared" si="530"/>
        <v>35.323526672893635</v>
      </c>
      <c r="V133" s="340">
        <f t="shared" si="530"/>
        <v>38.315651503408063</v>
      </c>
      <c r="W133" s="398">
        <f>AVERAGE(T133:V133,R133)</f>
        <v>35.010344724901842</v>
      </c>
      <c r="X133" s="398"/>
      <c r="Y133" s="398">
        <f>AVERAGE(T133,O133,J133)</f>
        <v>34.096521700676341</v>
      </c>
      <c r="Z133" s="398">
        <f t="shared" ref="Z133:AB135" si="531">AVERAGE(U133,P133,K133)</f>
        <v>34.104813719577614</v>
      </c>
      <c r="AA133" s="398">
        <f t="shared" si="531"/>
        <v>36.888082673581117</v>
      </c>
      <c r="AB133" s="398">
        <f t="shared" si="531"/>
        <v>34.053219735458775</v>
      </c>
      <c r="AC133" s="398"/>
      <c r="AD133" s="398">
        <f>AVERAGE(Y133,T133,O133)</f>
        <v>33.51575993374226</v>
      </c>
      <c r="AE133" s="398">
        <f t="shared" ref="AE133:AE135" si="532">AVERAGE(Z133,U133,P133)</f>
        <v>33.79409169203899</v>
      </c>
      <c r="AF133" s="398">
        <f t="shared" ref="AF133:AF135" si="533">AVERAGE(AA133,V133,Q133)</f>
        <v>36.920632387360399</v>
      </c>
      <c r="AG133" s="398">
        <f t="shared" ref="AG133:AG135" si="534">AVERAGE(AB133,W133,R133)</f>
        <v>33.778940662216563</v>
      </c>
      <c r="AH133" s="398"/>
      <c r="AI133" s="398">
        <f>AVERAGE(AD133,Y133,T133)</f>
        <v>33.913741610478404</v>
      </c>
      <c r="AJ133" s="398">
        <f t="shared" ref="AJ133:AJ135" si="535">AVERAGE(AE133,Z133,U133)</f>
        <v>34.40747736150341</v>
      </c>
      <c r="AK133" s="398">
        <f t="shared" ref="AK133:AK135" si="536">AVERAGE(AF133,AA133,V133)</f>
        <v>37.374788854783198</v>
      </c>
      <c r="AL133" s="398">
        <f t="shared" ref="AL133:AL135" si="537">AVERAGE(AG133,AB133,W133)</f>
        <v>34.28083504085906</v>
      </c>
      <c r="AM133" s="398"/>
      <c r="AN133" s="398">
        <f>AVERAGE(AI133,AD133,Y133)</f>
        <v>33.842007748299004</v>
      </c>
      <c r="AO133" s="398">
        <f t="shared" ref="AO133:AO135" si="538">AVERAGE(AJ133,AE133,Z133)</f>
        <v>34.102127591040009</v>
      </c>
      <c r="AP133" s="398">
        <f t="shared" ref="AP133:AP135" si="539">AVERAGE(AK133,AF133,AA133)</f>
        <v>37.06116797190824</v>
      </c>
      <c r="AQ133" s="398">
        <f t="shared" ref="AQ133:AQ135" si="540">AVERAGE(AL133,AG133,AB133)</f>
        <v>34.037665146178135</v>
      </c>
      <c r="AR133" s="398"/>
      <c r="AS133" s="398">
        <f>AVERAGE(AN133,AI133,AD133)</f>
        <v>33.75716976417322</v>
      </c>
      <c r="AT133" s="398">
        <f t="shared" ref="AT133:AT135" si="541">AVERAGE(AO133,AJ133,AE133)</f>
        <v>34.101232214860801</v>
      </c>
      <c r="AU133" s="398">
        <f t="shared" ref="AU133:AU135" si="542">AVERAGE(AP133,AK133,AF133)</f>
        <v>37.11886307135061</v>
      </c>
      <c r="AV133" s="398">
        <f t="shared" ref="AV133:AV135" si="543">AVERAGE(AQ133,AL133,AG133)</f>
        <v>34.032480283084588</v>
      </c>
      <c r="AW133" s="398"/>
      <c r="AX133" s="188"/>
      <c r="AY133" s="188"/>
      <c r="AZ133" s="188"/>
      <c r="BA133" s="188"/>
      <c r="BB133" s="188"/>
      <c r="BC133" s="188"/>
      <c r="BD133" s="188"/>
      <c r="BE133" s="188"/>
      <c r="BF133" s="188"/>
      <c r="BG133" s="188"/>
      <c r="BH133" s="188"/>
      <c r="BI133" s="188"/>
      <c r="BJ133" s="188"/>
      <c r="BK133" s="188"/>
      <c r="BL133" s="188"/>
      <c r="BM133" s="188"/>
      <c r="BN133" s="188"/>
      <c r="BO133" s="188"/>
      <c r="BP133" s="188"/>
    </row>
    <row r="134" spans="2:68" s="78" customFormat="1">
      <c r="B134" s="188"/>
      <c r="C134" s="188"/>
      <c r="D134" s="188" t="s">
        <v>143</v>
      </c>
      <c r="E134" s="340">
        <f t="shared" ref="E134:V134" si="544">(E102)/(E6/E132)</f>
        <v>49.635697495177517</v>
      </c>
      <c r="F134" s="340">
        <f t="shared" si="544"/>
        <v>51.150498206631795</v>
      </c>
      <c r="G134" s="340">
        <f t="shared" si="544"/>
        <v>53.797340978594264</v>
      </c>
      <c r="H134" s="340">
        <f t="shared" si="544"/>
        <v>49.092753956571833</v>
      </c>
      <c r="I134" s="340">
        <f t="shared" si="544"/>
        <v>50.661271713264227</v>
      </c>
      <c r="J134" s="340">
        <f t="shared" si="544"/>
        <v>57.125608515529855</v>
      </c>
      <c r="K134" s="340">
        <f t="shared" si="544"/>
        <v>59.739363878181948</v>
      </c>
      <c r="L134" s="340">
        <f t="shared" si="544"/>
        <v>54.895177594146872</v>
      </c>
      <c r="M134" s="340">
        <f t="shared" si="544"/>
        <v>50.474413536670205</v>
      </c>
      <c r="N134" s="340">
        <f t="shared" si="544"/>
        <v>55.354908445606391</v>
      </c>
      <c r="O134" s="340">
        <f t="shared" si="544"/>
        <v>59.372377296272091</v>
      </c>
      <c r="P134" s="340">
        <f t="shared" si="544"/>
        <v>59.959749392138434</v>
      </c>
      <c r="Q134" s="340">
        <f t="shared" si="544"/>
        <v>57.078450618578174</v>
      </c>
      <c r="R134" s="340">
        <f t="shared" si="544"/>
        <v>55.942807715444502</v>
      </c>
      <c r="S134" s="340">
        <f t="shared" si="544"/>
        <v>57.361145067125399</v>
      </c>
      <c r="T134" s="340">
        <f t="shared" si="544"/>
        <v>56.754619309492867</v>
      </c>
      <c r="U134" s="340">
        <f t="shared" si="544"/>
        <v>58.665822597806951</v>
      </c>
      <c r="V134" s="340">
        <f t="shared" si="544"/>
        <v>58.591179400707325</v>
      </c>
      <c r="W134" s="398">
        <f t="shared" ref="W134:W135" si="545">AVERAGE(T134:V134,R134)</f>
        <v>57.48860725586291</v>
      </c>
      <c r="X134" s="398"/>
      <c r="Y134" s="398">
        <f t="shared" ref="Y134:Y135" si="546">AVERAGE(T134,O134,J134)</f>
        <v>57.750868373764938</v>
      </c>
      <c r="Z134" s="398">
        <f t="shared" si="531"/>
        <v>59.454978622709113</v>
      </c>
      <c r="AA134" s="398">
        <f t="shared" si="531"/>
        <v>56.854935871144129</v>
      </c>
      <c r="AB134" s="398">
        <f t="shared" si="531"/>
        <v>54.63527616932587</v>
      </c>
      <c r="AC134" s="398"/>
      <c r="AD134" s="398">
        <f t="shared" ref="AD134:AD135" si="547">AVERAGE(Y134,T134,O134)</f>
        <v>57.959288326509956</v>
      </c>
      <c r="AE134" s="398">
        <f t="shared" si="532"/>
        <v>59.360183537551499</v>
      </c>
      <c r="AF134" s="398">
        <f t="shared" si="533"/>
        <v>57.508188630143216</v>
      </c>
      <c r="AG134" s="398">
        <f t="shared" si="534"/>
        <v>56.022230380211091</v>
      </c>
      <c r="AH134" s="398"/>
      <c r="AI134" s="398">
        <f t="shared" ref="AI134:AI135" si="548">AVERAGE(AD134,Y134,T134)</f>
        <v>57.488258669922594</v>
      </c>
      <c r="AJ134" s="398">
        <f t="shared" si="535"/>
        <v>59.16032825268919</v>
      </c>
      <c r="AK134" s="398">
        <f t="shared" si="536"/>
        <v>57.651434633998228</v>
      </c>
      <c r="AL134" s="398">
        <f t="shared" si="537"/>
        <v>56.048704601799955</v>
      </c>
      <c r="AM134" s="398"/>
      <c r="AN134" s="398">
        <f t="shared" ref="AN134:AN135" si="549">AVERAGE(AI134,AD134,Y134)</f>
        <v>57.732805123399167</v>
      </c>
      <c r="AO134" s="398">
        <f t="shared" si="538"/>
        <v>59.325163470983263</v>
      </c>
      <c r="AP134" s="398">
        <f t="shared" si="539"/>
        <v>57.338186378428524</v>
      </c>
      <c r="AQ134" s="398">
        <f t="shared" si="540"/>
        <v>55.568737050445634</v>
      </c>
      <c r="AR134" s="398"/>
      <c r="AS134" s="398">
        <f t="shared" ref="AS134:AS135" si="550">AVERAGE(AN134,AI134,AD134)</f>
        <v>57.726784039943908</v>
      </c>
      <c r="AT134" s="398">
        <f t="shared" si="541"/>
        <v>59.28189175374132</v>
      </c>
      <c r="AU134" s="398">
        <f t="shared" si="542"/>
        <v>57.499269880856652</v>
      </c>
      <c r="AV134" s="398">
        <f t="shared" si="543"/>
        <v>55.879890677485555</v>
      </c>
      <c r="AW134" s="398"/>
      <c r="AX134" s="188"/>
      <c r="AY134" s="188"/>
      <c r="AZ134" s="188"/>
      <c r="BA134" s="188"/>
      <c r="BB134" s="188"/>
      <c r="BC134" s="188"/>
      <c r="BD134" s="188"/>
      <c r="BE134" s="188"/>
      <c r="BF134" s="188"/>
      <c r="BG134" s="188"/>
      <c r="BH134" s="188"/>
      <c r="BI134" s="188"/>
      <c r="BJ134" s="188"/>
      <c r="BK134" s="188"/>
      <c r="BL134" s="188"/>
      <c r="BM134" s="188"/>
      <c r="BN134" s="188"/>
      <c r="BO134" s="188"/>
      <c r="BP134" s="188"/>
    </row>
    <row r="135" spans="2:68" s="78" customFormat="1">
      <c r="B135" s="188"/>
      <c r="C135" s="188"/>
      <c r="D135" s="188" t="s">
        <v>144</v>
      </c>
      <c r="E135" s="340">
        <f t="shared" ref="E135:V135" si="551">(E113)/(E6/E132)</f>
        <v>65.478965931155585</v>
      </c>
      <c r="F135" s="340">
        <f t="shared" si="551"/>
        <v>69.101449266683275</v>
      </c>
      <c r="G135" s="340">
        <f t="shared" si="551"/>
        <v>69.62345824617212</v>
      </c>
      <c r="H135" s="340">
        <f t="shared" si="551"/>
        <v>66.895848866082261</v>
      </c>
      <c r="I135" s="340">
        <f t="shared" si="551"/>
        <v>69.033177052809791</v>
      </c>
      <c r="J135" s="340">
        <f t="shared" si="551"/>
        <v>74.686014599886633</v>
      </c>
      <c r="K135" s="340">
        <f t="shared" si="551"/>
        <v>75.901490235633275</v>
      </c>
      <c r="L135" s="340">
        <f t="shared" si="551"/>
        <v>73.802530716170651</v>
      </c>
      <c r="M135" s="340">
        <f t="shared" si="551"/>
        <v>69.437543873827195</v>
      </c>
      <c r="N135" s="340">
        <f t="shared" si="551"/>
        <v>76.151630390534123</v>
      </c>
      <c r="O135" s="340">
        <f t="shared" si="551"/>
        <v>72.238271894119677</v>
      </c>
      <c r="P135" s="340">
        <f t="shared" si="551"/>
        <v>72.014523924941386</v>
      </c>
      <c r="Q135" s="340">
        <f t="shared" si="551"/>
        <v>72.338218725954093</v>
      </c>
      <c r="R135" s="340">
        <f t="shared" si="551"/>
        <v>75.256193073177982</v>
      </c>
      <c r="S135" s="340">
        <f t="shared" si="551"/>
        <v>77.164189363316453</v>
      </c>
      <c r="T135" s="340">
        <f t="shared" si="551"/>
        <v>74.942468420991915</v>
      </c>
      <c r="U135" s="340">
        <f t="shared" si="551"/>
        <v>77.886636947587547</v>
      </c>
      <c r="V135" s="340">
        <f t="shared" si="551"/>
        <v>81.220503071670606</v>
      </c>
      <c r="W135" s="398">
        <f t="shared" si="545"/>
        <v>77.326450378357009</v>
      </c>
      <c r="X135" s="398"/>
      <c r="Y135" s="398">
        <f t="shared" si="546"/>
        <v>73.955584971666084</v>
      </c>
      <c r="Z135" s="398">
        <f t="shared" si="531"/>
        <v>75.267550369387394</v>
      </c>
      <c r="AA135" s="398">
        <f t="shared" si="531"/>
        <v>75.787084171265107</v>
      </c>
      <c r="AB135" s="398">
        <f t="shared" si="531"/>
        <v>74.006729108454053</v>
      </c>
      <c r="AC135" s="398"/>
      <c r="AD135" s="398">
        <f t="shared" si="547"/>
        <v>73.712108428925887</v>
      </c>
      <c r="AE135" s="398">
        <f t="shared" si="532"/>
        <v>75.05623708063878</v>
      </c>
      <c r="AF135" s="398">
        <f t="shared" si="533"/>
        <v>76.448601989629935</v>
      </c>
      <c r="AG135" s="398">
        <f t="shared" si="534"/>
        <v>75.529790853329686</v>
      </c>
      <c r="AH135" s="398"/>
      <c r="AI135" s="398">
        <f t="shared" si="548"/>
        <v>74.20338727386131</v>
      </c>
      <c r="AJ135" s="398">
        <f t="shared" si="535"/>
        <v>76.070141465871245</v>
      </c>
      <c r="AK135" s="398">
        <f t="shared" si="536"/>
        <v>77.818729744188559</v>
      </c>
      <c r="AL135" s="398">
        <f t="shared" si="537"/>
        <v>75.620990113380245</v>
      </c>
      <c r="AM135" s="398"/>
      <c r="AN135" s="398">
        <f t="shared" si="549"/>
        <v>73.957026891484432</v>
      </c>
      <c r="AO135" s="398">
        <f t="shared" si="538"/>
        <v>75.464642971965802</v>
      </c>
      <c r="AP135" s="398">
        <f t="shared" si="539"/>
        <v>76.684805301694539</v>
      </c>
      <c r="AQ135" s="398">
        <f t="shared" si="540"/>
        <v>75.052503358387995</v>
      </c>
      <c r="AR135" s="398"/>
      <c r="AS135" s="398">
        <f t="shared" si="550"/>
        <v>73.957507531423872</v>
      </c>
      <c r="AT135" s="398">
        <f t="shared" si="541"/>
        <v>75.530340506158609</v>
      </c>
      <c r="AU135" s="398">
        <f t="shared" si="542"/>
        <v>76.984045678504344</v>
      </c>
      <c r="AV135" s="398">
        <f t="shared" si="543"/>
        <v>75.401094775032632</v>
      </c>
      <c r="AW135" s="398"/>
      <c r="AX135" s="188"/>
      <c r="AY135" s="188"/>
      <c r="AZ135" s="188"/>
      <c r="BA135" s="188"/>
      <c r="BB135" s="188"/>
      <c r="BC135" s="188"/>
      <c r="BD135" s="188"/>
      <c r="BE135" s="188"/>
      <c r="BF135" s="188"/>
      <c r="BG135" s="188"/>
      <c r="BH135" s="188"/>
      <c r="BI135" s="188"/>
      <c r="BJ135" s="188"/>
      <c r="BK135" s="188"/>
      <c r="BL135" s="188"/>
      <c r="BM135" s="188"/>
      <c r="BN135" s="188"/>
      <c r="BO135" s="188"/>
      <c r="BP135" s="188"/>
    </row>
    <row r="136" spans="2:68">
      <c r="B136" s="143"/>
      <c r="C136" s="143"/>
      <c r="D136" s="143"/>
      <c r="E136" s="154"/>
      <c r="F136" s="154"/>
      <c r="G136" s="154"/>
      <c r="H136" s="154"/>
      <c r="I136" s="154"/>
      <c r="J136" s="154"/>
      <c r="K136" s="154"/>
      <c r="L136" s="154"/>
      <c r="M136" s="154"/>
      <c r="N136" s="154"/>
      <c r="O136" s="154"/>
      <c r="P136" s="154"/>
      <c r="Q136" s="154"/>
      <c r="R136" s="154"/>
      <c r="S136" s="154"/>
      <c r="T136" s="154"/>
      <c r="U136" s="154"/>
      <c r="V136" s="154"/>
      <c r="W136" s="399"/>
      <c r="X136" s="399"/>
      <c r="Y136" s="399"/>
      <c r="Z136" s="399"/>
      <c r="AA136" s="399"/>
      <c r="AB136" s="399"/>
      <c r="AC136" s="399"/>
      <c r="AD136" s="399"/>
      <c r="AE136" s="399"/>
      <c r="AF136" s="399"/>
      <c r="AG136" s="399"/>
      <c r="AH136" s="399"/>
      <c r="AI136" s="399"/>
      <c r="AJ136" s="399"/>
      <c r="AK136" s="399"/>
      <c r="AL136" s="399"/>
      <c r="AM136" s="399"/>
      <c r="AN136" s="399"/>
      <c r="AO136" s="399"/>
      <c r="AP136" s="399"/>
      <c r="AQ136" s="399"/>
      <c r="AR136" s="399"/>
      <c r="AS136" s="399"/>
      <c r="AT136" s="399"/>
      <c r="AU136" s="399"/>
      <c r="AV136" s="399"/>
      <c r="AW136" s="399"/>
      <c r="AX136" s="143"/>
      <c r="AY136" s="143"/>
      <c r="AZ136" s="143"/>
      <c r="BA136" s="143"/>
      <c r="BB136" s="143"/>
      <c r="BC136" s="143"/>
      <c r="BD136" s="143"/>
      <c r="BE136" s="143"/>
      <c r="BF136" s="143"/>
      <c r="BG136" s="143"/>
      <c r="BH136" s="143"/>
      <c r="BI136" s="143"/>
      <c r="BJ136" s="143"/>
      <c r="BK136" s="143"/>
      <c r="BL136" s="143"/>
      <c r="BM136" s="143"/>
      <c r="BN136" s="143"/>
      <c r="BO136" s="143"/>
      <c r="BP136" s="143"/>
    </row>
    <row r="137" spans="2:68" s="42" customFormat="1">
      <c r="B137" s="181"/>
      <c r="C137" s="181"/>
      <c r="D137" s="181" t="s">
        <v>145</v>
      </c>
      <c r="E137" s="319">
        <f t="shared" ref="E137:V137" si="552">E143/E5</f>
        <v>1.7010403051706081E-2</v>
      </c>
      <c r="F137" s="319">
        <f t="shared" si="552"/>
        <v>1.8290781898146022E-2</v>
      </c>
      <c r="G137" s="319">
        <f t="shared" si="552"/>
        <v>2.1264706823923413E-2</v>
      </c>
      <c r="H137" s="319">
        <f t="shared" si="552"/>
        <v>2.0488383434490325E-2</v>
      </c>
      <c r="I137" s="319">
        <f t="shared" si="552"/>
        <v>1.9240728883226671E-2</v>
      </c>
      <c r="J137" s="319">
        <f t="shared" si="552"/>
        <v>2.28896431211775E-2</v>
      </c>
      <c r="K137" s="319">
        <f t="shared" si="552"/>
        <v>1.9783344184448843E-2</v>
      </c>
      <c r="L137" s="319">
        <f t="shared" si="552"/>
        <v>1.911976420830799E-2</v>
      </c>
      <c r="M137" s="319">
        <f t="shared" si="552"/>
        <v>2.2321610095373815E-2</v>
      </c>
      <c r="N137" s="319">
        <f t="shared" si="552"/>
        <v>2.1062423217178033E-2</v>
      </c>
      <c r="O137" s="319">
        <f t="shared" si="552"/>
        <v>2.3111896724893628E-2</v>
      </c>
      <c r="P137" s="319">
        <f t="shared" si="552"/>
        <v>2.2035753051866717E-2</v>
      </c>
      <c r="Q137" s="319">
        <f t="shared" si="552"/>
        <v>1.2393890347464643E-2</v>
      </c>
      <c r="R137" s="319">
        <f t="shared" si="552"/>
        <v>2.1165334614118497E-2</v>
      </c>
      <c r="S137" s="319">
        <f t="shared" si="552"/>
        <v>1.9636239125547076E-2</v>
      </c>
      <c r="T137" s="319">
        <f t="shared" si="552"/>
        <v>2.4365822859732642E-2</v>
      </c>
      <c r="U137" s="319">
        <f t="shared" si="552"/>
        <v>2.1869183019676872E-2</v>
      </c>
      <c r="V137" s="319">
        <f t="shared" si="552"/>
        <v>2.1262052621674465E-2</v>
      </c>
      <c r="W137" s="384">
        <f>AVERAGE(T137:V137,R137)</f>
        <v>2.216559827880062E-2</v>
      </c>
      <c r="X137" s="384">
        <f>SUM(T143:W143)/X5</f>
        <v>2.2386363365782667E-2</v>
      </c>
      <c r="Y137" s="384">
        <f>AVERAGE(T137,O137,J137)</f>
        <v>2.3455787568601255E-2</v>
      </c>
      <c r="Z137" s="384">
        <f t="shared" ref="Z137" si="553">AVERAGE(U137,P137,K137)</f>
        <v>2.1229426751997477E-2</v>
      </c>
      <c r="AA137" s="384">
        <f t="shared" ref="AA137" si="554">AVERAGE(V137,Q137,L137)</f>
        <v>1.7591902392482369E-2</v>
      </c>
      <c r="AB137" s="384">
        <f t="shared" ref="AB137" si="555">AVERAGE(W137,R137,M137)</f>
        <v>2.1884180996097641E-2</v>
      </c>
      <c r="AC137" s="384">
        <f>SUM(Y143:AB143)/AC5</f>
        <v>2.0998390484505459E-2</v>
      </c>
      <c r="AD137" s="384">
        <f>AVERAGE(Y137,T137,O137)</f>
        <v>2.3644502384409172E-2</v>
      </c>
      <c r="AE137" s="384">
        <f t="shared" ref="AE137:AE138" si="556">AVERAGE(Z137,U137,P137)</f>
        <v>2.1711454274513691E-2</v>
      </c>
      <c r="AF137" s="384">
        <f t="shared" ref="AF137:AF138" si="557">AVERAGE(AA137,V137,Q137)</f>
        <v>1.7082615120540493E-2</v>
      </c>
      <c r="AG137" s="384">
        <f t="shared" ref="AG137:AG138" si="558">AVERAGE(AB137,W137,R137)</f>
        <v>2.1738371296338918E-2</v>
      </c>
      <c r="AH137" s="384">
        <f>SUM(AD143:AG143)/AH5</f>
        <v>2.0978983026117223E-2</v>
      </c>
      <c r="AI137" s="384">
        <f>AVERAGE(AD137,Y137,T137)</f>
        <v>2.3822037604247687E-2</v>
      </c>
      <c r="AJ137" s="384">
        <f t="shared" ref="AJ137:AJ138" si="559">AVERAGE(AE137,Z137,U137)</f>
        <v>2.1603354682062679E-2</v>
      </c>
      <c r="AK137" s="384">
        <f t="shared" ref="AK137:AK138" si="560">AVERAGE(AF137,AA137,V137)</f>
        <v>1.8645523378232443E-2</v>
      </c>
      <c r="AL137" s="384">
        <f t="shared" ref="AL137:AL138" si="561">AVERAGE(AG137,AB137,W137)</f>
        <v>2.1929383523745724E-2</v>
      </c>
      <c r="AM137" s="384">
        <f>SUM(AI143:AL143)/AM5</f>
        <v>2.1437537954891027E-2</v>
      </c>
      <c r="AN137" s="384">
        <f>AVERAGE(AI137,AD137,Y137)</f>
        <v>2.364077585241937E-2</v>
      </c>
      <c r="AO137" s="384">
        <f t="shared" ref="AO137:AO138" si="562">AVERAGE(AJ137,AE137,Z137)</f>
        <v>2.151474523619128E-2</v>
      </c>
      <c r="AP137" s="384">
        <f t="shared" ref="AP137:AP138" si="563">AVERAGE(AK137,AF137,AA137)</f>
        <v>1.7773346963751768E-2</v>
      </c>
      <c r="AQ137" s="384">
        <f t="shared" ref="AQ137:AQ138" si="564">AVERAGE(AL137,AG137,AB137)</f>
        <v>2.1850645272060761E-2</v>
      </c>
      <c r="AR137" s="384">
        <f>SUM(AN143:AQ143)/AR5</f>
        <v>2.1118320814179668E-2</v>
      </c>
      <c r="AS137" s="384">
        <f>AVERAGE(AN137,AI137,AD137)</f>
        <v>2.3702438613692076E-2</v>
      </c>
      <c r="AT137" s="384">
        <f t="shared" ref="AT137:AT138" si="565">AVERAGE(AO137,AJ137,AE137)</f>
        <v>2.1609851397589214E-2</v>
      </c>
      <c r="AU137" s="384">
        <f t="shared" ref="AU137:AU138" si="566">AVERAGE(AP137,AK137,AF137)</f>
        <v>1.7833828487508235E-2</v>
      </c>
      <c r="AV137" s="384">
        <f t="shared" ref="AV137:AV138" si="567">AVERAGE(AQ137,AL137,AG137)</f>
        <v>2.1839466697381803E-2</v>
      </c>
      <c r="AW137" s="384">
        <f>SUM(AS143:AV143)/AW5</f>
        <v>2.1158353309328949E-2</v>
      </c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181"/>
      <c r="BL137" s="181"/>
      <c r="BM137" s="181"/>
      <c r="BN137" s="181"/>
      <c r="BO137" s="181"/>
      <c r="BP137" s="181"/>
    </row>
    <row r="138" spans="2:68" s="42" customFormat="1">
      <c r="B138" s="181"/>
      <c r="C138" s="181"/>
      <c r="D138" s="181" t="s">
        <v>146</v>
      </c>
      <c r="E138" s="319">
        <f t="shared" ref="E138:V138" si="568">E154*-1/E5</f>
        <v>1.1902684306768318E-2</v>
      </c>
      <c r="F138" s="319">
        <f t="shared" si="568"/>
        <v>1.3112199851115766E-2</v>
      </c>
      <c r="G138" s="319">
        <f t="shared" si="568"/>
        <v>1.2269708419232117E-2</v>
      </c>
      <c r="H138" s="319">
        <f t="shared" si="568"/>
        <v>1.2493284749127908E-2</v>
      </c>
      <c r="I138" s="319">
        <f t="shared" si="568"/>
        <v>1.2438279190209751E-2</v>
      </c>
      <c r="J138" s="319">
        <f t="shared" si="568"/>
        <v>1.55324618589959E-2</v>
      </c>
      <c r="K138" s="319">
        <f t="shared" si="568"/>
        <v>2.4854803451085903E-2</v>
      </c>
      <c r="L138" s="319">
        <f t="shared" si="568"/>
        <v>1.0386650628913991E-2</v>
      </c>
      <c r="M138" s="319">
        <f t="shared" si="568"/>
        <v>1.8062517068531549E-2</v>
      </c>
      <c r="N138" s="319">
        <f t="shared" si="568"/>
        <v>1.7016205563533011E-2</v>
      </c>
      <c r="O138" s="319">
        <f t="shared" si="568"/>
        <v>1.594973442227534E-2</v>
      </c>
      <c r="P138" s="319">
        <f t="shared" si="568"/>
        <v>2.7073007087344791E-2</v>
      </c>
      <c r="Q138" s="319">
        <f t="shared" si="568"/>
        <v>2.4437445130044394E-2</v>
      </c>
      <c r="R138" s="319">
        <f t="shared" si="568"/>
        <v>2.5489783399801048E-3</v>
      </c>
      <c r="S138" s="319">
        <f t="shared" si="568"/>
        <v>1.7397694488734822E-2</v>
      </c>
      <c r="T138" s="319">
        <f t="shared" si="568"/>
        <v>1.9021433675212539E-2</v>
      </c>
      <c r="U138" s="319">
        <f t="shared" si="568"/>
        <v>2.0779851511382973E-2</v>
      </c>
      <c r="V138" s="319">
        <f t="shared" si="568"/>
        <v>2.219612083401112E-2</v>
      </c>
      <c r="W138" s="384">
        <f>AVERAGE(T138:V138,R138)</f>
        <v>1.6136596090146685E-2</v>
      </c>
      <c r="X138" s="384">
        <f>SUM(T154:W154)*-1/X5</f>
        <v>1.9489339164818532E-2</v>
      </c>
      <c r="Y138" s="384">
        <f>AVERAGE(T138,O138,J138)</f>
        <v>1.6834543318827926E-2</v>
      </c>
      <c r="Z138" s="384">
        <f t="shared" ref="Z138" si="569">AVERAGE(U138,P138,K138)</f>
        <v>2.4235887349937885E-2</v>
      </c>
      <c r="AA138" s="384">
        <f t="shared" ref="AA138" si="570">AVERAGE(V138,Q138,L138)</f>
        <v>1.9006738864323167E-2</v>
      </c>
      <c r="AB138" s="384">
        <f t="shared" ref="AB138" si="571">AVERAGE(W138,R138,M138)</f>
        <v>1.2249363832886112E-2</v>
      </c>
      <c r="AC138" s="384">
        <f>SUM(Y154:AB154)*-1/AC5</f>
        <v>1.7958437095991538E-2</v>
      </c>
      <c r="AD138" s="384">
        <f>AVERAGE(Y138,T138,O138)</f>
        <v>1.7268570472105269E-2</v>
      </c>
      <c r="AE138" s="384">
        <f t="shared" si="556"/>
        <v>2.4029581982888553E-2</v>
      </c>
      <c r="AF138" s="384">
        <f t="shared" si="557"/>
        <v>2.1880101609459562E-2</v>
      </c>
      <c r="AG138" s="384">
        <f t="shared" si="558"/>
        <v>1.0311646087670967E-2</v>
      </c>
      <c r="AH138" s="384">
        <f>SUM(AD154:AG154)*-1/AH5</f>
        <v>1.8214719382017297E-2</v>
      </c>
      <c r="AI138" s="384">
        <f>AVERAGE(AD138,Y138,T138)</f>
        <v>1.7708182488715248E-2</v>
      </c>
      <c r="AJ138" s="384">
        <f t="shared" si="559"/>
        <v>2.3015106948069807E-2</v>
      </c>
      <c r="AK138" s="384">
        <f t="shared" si="560"/>
        <v>2.1027653769264618E-2</v>
      </c>
      <c r="AL138" s="384">
        <f t="shared" si="561"/>
        <v>1.2899202003567922E-2</v>
      </c>
      <c r="AM138" s="384">
        <f>SUM(AI154:AL154)*-1/AM5</f>
        <v>1.8541475747654277E-2</v>
      </c>
      <c r="AN138" s="384">
        <f>AVERAGE(AI138,AD138,Y138)</f>
        <v>1.7270432093216149E-2</v>
      </c>
      <c r="AO138" s="384">
        <f t="shared" si="562"/>
        <v>2.3760192093632084E-2</v>
      </c>
      <c r="AP138" s="384">
        <f t="shared" si="563"/>
        <v>2.0638164747682448E-2</v>
      </c>
      <c r="AQ138" s="384">
        <f t="shared" si="564"/>
        <v>1.1820070641375002E-2</v>
      </c>
      <c r="AR138" s="384">
        <f>SUM(AN154:AQ154)*-1/AR5</f>
        <v>1.8218020441707405E-2</v>
      </c>
      <c r="AS138" s="384">
        <f>AVERAGE(AN138,AI138,AD138)</f>
        <v>1.7415728351345555E-2</v>
      </c>
      <c r="AT138" s="384">
        <f t="shared" si="565"/>
        <v>2.3601627008196815E-2</v>
      </c>
      <c r="AU138" s="384">
        <f t="shared" si="566"/>
        <v>2.1181973375468875E-2</v>
      </c>
      <c r="AV138" s="384">
        <f t="shared" si="567"/>
        <v>1.1676972910871298E-2</v>
      </c>
      <c r="AW138" s="384">
        <f>SUM(AS154:AV154)*-1/AW5</f>
        <v>1.8305758824631046E-2</v>
      </c>
      <c r="AX138" s="181"/>
      <c r="AY138" s="181"/>
      <c r="AZ138" s="181"/>
      <c r="BA138" s="181"/>
      <c r="BB138" s="181"/>
      <c r="BC138" s="181"/>
      <c r="BD138" s="181"/>
      <c r="BE138" s="181"/>
      <c r="BF138" s="181"/>
      <c r="BG138" s="181"/>
      <c r="BH138" s="181"/>
      <c r="BI138" s="181"/>
      <c r="BJ138" s="181"/>
      <c r="BK138" s="181"/>
      <c r="BL138" s="181"/>
      <c r="BM138" s="181"/>
      <c r="BN138" s="181"/>
      <c r="BO138" s="181"/>
      <c r="BP138" s="181"/>
    </row>
    <row r="139" spans="2:68">
      <c r="B139" s="143"/>
      <c r="C139" s="143"/>
      <c r="D139" s="143"/>
      <c r="E139" s="154"/>
      <c r="F139" s="154"/>
      <c r="G139" s="154"/>
      <c r="H139" s="154"/>
      <c r="I139" s="165"/>
      <c r="J139" s="154"/>
      <c r="K139" s="154"/>
      <c r="L139" s="154"/>
      <c r="M139" s="154"/>
      <c r="O139" s="154"/>
      <c r="P139" s="154"/>
      <c r="Q139" s="154"/>
      <c r="R139" s="154"/>
      <c r="S139" s="165"/>
      <c r="T139" s="154"/>
      <c r="U139" s="154"/>
      <c r="V139" s="154"/>
      <c r="W139" s="154"/>
      <c r="X139" s="154"/>
      <c r="Y139" s="154"/>
      <c r="Z139" s="154"/>
      <c r="AA139" s="154"/>
      <c r="AB139" s="154"/>
      <c r="AC139" s="154"/>
      <c r="AD139" s="154"/>
      <c r="AE139" s="154"/>
      <c r="AF139" s="154"/>
      <c r="AG139" s="154"/>
      <c r="AH139" s="154"/>
      <c r="AI139" s="154"/>
      <c r="AJ139" s="154"/>
      <c r="AK139" s="154"/>
      <c r="AL139" s="154"/>
      <c r="AM139" s="154"/>
      <c r="AN139" s="154"/>
      <c r="AO139" s="154"/>
      <c r="AP139" s="154"/>
      <c r="AQ139" s="154"/>
      <c r="AR139" s="154"/>
      <c r="AS139" s="154"/>
      <c r="AT139" s="154"/>
      <c r="AU139" s="154"/>
      <c r="AV139" s="154"/>
      <c r="AW139" s="154"/>
      <c r="AX139" s="143"/>
      <c r="AY139" s="143"/>
      <c r="AZ139" s="143"/>
      <c r="BA139" s="143"/>
      <c r="BB139" s="143"/>
      <c r="BC139" s="143"/>
      <c r="BD139" s="143"/>
      <c r="BE139" s="143"/>
      <c r="BF139" s="143"/>
      <c r="BG139" s="143"/>
      <c r="BH139" s="143"/>
      <c r="BI139" s="143"/>
      <c r="BJ139" s="143"/>
      <c r="BK139" s="143"/>
      <c r="BL139" s="143"/>
      <c r="BM139" s="143"/>
      <c r="BN139" s="143"/>
      <c r="BO139" s="143"/>
      <c r="BP139" s="143"/>
    </row>
    <row r="140" spans="2:68">
      <c r="B140" s="143"/>
      <c r="C140" s="143"/>
      <c r="D140" s="143"/>
      <c r="E140" s="154"/>
      <c r="F140" s="154"/>
      <c r="G140" s="154"/>
      <c r="H140" s="154"/>
      <c r="I140" s="165"/>
      <c r="J140" s="154"/>
      <c r="K140" s="154"/>
      <c r="L140" s="154"/>
      <c r="M140" s="154"/>
      <c r="O140" s="154"/>
      <c r="P140" s="154"/>
      <c r="Q140" s="154"/>
      <c r="R140" s="154"/>
      <c r="S140" s="165"/>
      <c r="T140" s="154"/>
      <c r="U140" s="154"/>
      <c r="V140" s="154"/>
      <c r="W140" s="154"/>
      <c r="X140" s="154"/>
      <c r="Y140" s="154"/>
      <c r="Z140" s="154"/>
      <c r="AA140" s="154"/>
      <c r="AB140" s="154"/>
      <c r="AC140" s="154"/>
      <c r="AD140" s="154"/>
      <c r="AE140" s="154"/>
      <c r="AF140" s="154"/>
      <c r="AG140" s="154"/>
      <c r="AH140" s="154"/>
      <c r="AI140" s="154"/>
      <c r="AJ140" s="154"/>
      <c r="AK140" s="154"/>
      <c r="AL140" s="154"/>
      <c r="AM140" s="154"/>
      <c r="AN140" s="154"/>
      <c r="AO140" s="154"/>
      <c r="AP140" s="154"/>
      <c r="AQ140" s="154"/>
      <c r="AR140" s="154"/>
      <c r="AS140" s="154"/>
      <c r="AT140" s="154"/>
      <c r="AU140" s="154"/>
      <c r="AV140" s="154"/>
      <c r="AW140" s="154"/>
      <c r="AX140" s="143"/>
      <c r="AY140" s="143"/>
      <c r="AZ140" s="143"/>
      <c r="BA140" s="143"/>
      <c r="BB140" s="143"/>
      <c r="BC140" s="143"/>
      <c r="BD140" s="143"/>
      <c r="BE140" s="143"/>
      <c r="BF140" s="143"/>
      <c r="BG140" s="143"/>
      <c r="BH140" s="143"/>
      <c r="BI140" s="143"/>
      <c r="BJ140" s="143"/>
      <c r="BK140" s="143"/>
      <c r="BL140" s="143"/>
      <c r="BM140" s="143"/>
      <c r="BN140" s="143"/>
      <c r="BO140" s="143"/>
      <c r="BP140" s="143"/>
    </row>
    <row r="141" spans="2:68">
      <c r="B141" s="143"/>
      <c r="C141" s="143"/>
      <c r="D141" s="144" t="s">
        <v>48</v>
      </c>
      <c r="E141" s="145"/>
      <c r="F141" s="145"/>
      <c r="G141" s="145"/>
      <c r="H141" s="145"/>
      <c r="I141" s="145"/>
      <c r="J141" s="145"/>
      <c r="K141" s="145"/>
      <c r="L141" s="145"/>
      <c r="M141" s="145"/>
      <c r="N141" s="145"/>
      <c r="O141" s="145"/>
      <c r="P141" s="145"/>
      <c r="Q141" s="145"/>
      <c r="R141" s="145"/>
      <c r="S141" s="145"/>
      <c r="T141" s="145"/>
      <c r="U141" s="145"/>
      <c r="V141" s="145"/>
      <c r="W141" s="145"/>
      <c r="X141" s="145"/>
      <c r="Y141" s="145"/>
      <c r="Z141" s="145"/>
      <c r="AA141" s="145"/>
      <c r="AB141" s="145"/>
      <c r="AC141" s="145"/>
      <c r="AD141" s="145"/>
      <c r="AE141" s="145"/>
      <c r="AF141" s="145"/>
      <c r="AG141" s="145"/>
      <c r="AH141" s="145"/>
      <c r="AI141" s="145"/>
      <c r="AJ141" s="145"/>
      <c r="AK141" s="145"/>
      <c r="AL141" s="145"/>
      <c r="AM141" s="145"/>
      <c r="AN141" s="145"/>
      <c r="AO141" s="145"/>
      <c r="AP141" s="145"/>
      <c r="AQ141" s="145"/>
      <c r="AR141" s="145"/>
      <c r="AS141" s="145"/>
      <c r="AT141" s="145"/>
      <c r="AU141" s="145"/>
      <c r="AV141" s="145"/>
      <c r="AW141" s="145"/>
      <c r="AX141" s="143"/>
      <c r="AY141" s="143"/>
      <c r="AZ141" s="143"/>
      <c r="BA141" s="143"/>
      <c r="BB141" s="143"/>
      <c r="BC141" s="143"/>
      <c r="BD141" s="143"/>
      <c r="BE141" s="143"/>
      <c r="BF141" s="143"/>
      <c r="BG141" s="143"/>
      <c r="BH141" s="143"/>
      <c r="BI141" s="143"/>
      <c r="BJ141" s="143"/>
      <c r="BK141" s="143"/>
      <c r="BL141" s="143"/>
      <c r="BM141" s="143"/>
      <c r="BN141" s="143"/>
      <c r="BO141" s="143"/>
      <c r="BP141" s="143"/>
    </row>
    <row r="142" spans="2:68" s="71" customFormat="1">
      <c r="B142" s="146"/>
      <c r="C142" s="146"/>
      <c r="D142" s="146" t="s">
        <v>83</v>
      </c>
      <c r="E142" s="314">
        <f>E90</f>
        <v>152899</v>
      </c>
      <c r="F142" s="314">
        <f>F90</f>
        <v>173887</v>
      </c>
      <c r="G142" s="314">
        <f>G90</f>
        <v>138903</v>
      </c>
      <c r="H142" s="314">
        <f>H90</f>
        <v>152899</v>
      </c>
      <c r="I142" s="313">
        <f>SUM(E142:H142)</f>
        <v>618588</v>
      </c>
      <c r="J142" s="314">
        <f>J90</f>
        <v>135112</v>
      </c>
      <c r="K142" s="314">
        <f>K90</f>
        <v>110850</v>
      </c>
      <c r="L142" s="314">
        <f>L90</f>
        <v>122977</v>
      </c>
      <c r="M142" s="314">
        <f>M90</f>
        <v>148910</v>
      </c>
      <c r="N142" s="313">
        <f>SUM(J142:M142)</f>
        <v>517849</v>
      </c>
      <c r="O142" s="314">
        <f t="shared" ref="O142:V142" si="572">O90</f>
        <v>61344</v>
      </c>
      <c r="P142" s="314">
        <f t="shared" si="572"/>
        <v>105729</v>
      </c>
      <c r="Q142" s="314">
        <f t="shared" si="572"/>
        <v>-2508</v>
      </c>
      <c r="R142" s="314">
        <f t="shared" si="572"/>
        <v>129469</v>
      </c>
      <c r="S142" s="354">
        <f>S90</f>
        <v>294034</v>
      </c>
      <c r="T142" s="314">
        <f t="shared" si="572"/>
        <v>86874</v>
      </c>
      <c r="U142" s="314">
        <f t="shared" si="572"/>
        <v>124710</v>
      </c>
      <c r="V142" s="314">
        <f t="shared" si="572"/>
        <v>205086</v>
      </c>
      <c r="W142" s="387">
        <f t="shared" ref="W142:AW142" si="573">W59</f>
        <v>213597.99999999994</v>
      </c>
      <c r="X142" s="387">
        <f t="shared" si="573"/>
        <v>630268</v>
      </c>
      <c r="Y142" s="387">
        <f t="shared" si="573"/>
        <v>174851.11268777912</v>
      </c>
      <c r="Z142" s="387">
        <f t="shared" si="573"/>
        <v>184373.25713249797</v>
      </c>
      <c r="AA142" s="387">
        <f t="shared" si="573"/>
        <v>198748.2953228523</v>
      </c>
      <c r="AB142" s="387">
        <f t="shared" si="573"/>
        <v>215375.47673234594</v>
      </c>
      <c r="AC142" s="387">
        <f t="shared" si="573"/>
        <v>773348.14187547541</v>
      </c>
      <c r="AD142" s="387">
        <f t="shared" si="573"/>
        <v>189799.36281171092</v>
      </c>
      <c r="AE142" s="387">
        <f t="shared" si="573"/>
        <v>203000.45672335991</v>
      </c>
      <c r="AF142" s="387">
        <f t="shared" si="573"/>
        <v>221636.655538333</v>
      </c>
      <c r="AG142" s="387">
        <f t="shared" si="573"/>
        <v>240007.30862134523</v>
      </c>
      <c r="AH142" s="387">
        <f t="shared" si="573"/>
        <v>854443.783694749</v>
      </c>
      <c r="AI142" s="387">
        <f t="shared" si="573"/>
        <v>205360.21679590357</v>
      </c>
      <c r="AJ142" s="387">
        <f t="shared" si="573"/>
        <v>222533.09487042919</v>
      </c>
      <c r="AK142" s="387">
        <f t="shared" si="573"/>
        <v>245896.98116799552</v>
      </c>
      <c r="AL142" s="387">
        <f t="shared" si="573"/>
        <v>266155.29938223475</v>
      </c>
      <c r="AM142" s="387">
        <f t="shared" si="573"/>
        <v>939945.59221656295</v>
      </c>
      <c r="AN142" s="387">
        <f t="shared" si="573"/>
        <v>221242.3321709166</v>
      </c>
      <c r="AO142" s="387">
        <f t="shared" si="573"/>
        <v>242627.36475846716</v>
      </c>
      <c r="AP142" s="387">
        <f t="shared" si="573"/>
        <v>271133.71886765194</v>
      </c>
      <c r="AQ142" s="387">
        <f t="shared" si="573"/>
        <v>293405.36915456672</v>
      </c>
      <c r="AR142" s="387">
        <f t="shared" si="573"/>
        <v>1028408.7849516023</v>
      </c>
      <c r="AS142" s="387">
        <f t="shared" si="573"/>
        <v>237198.84696159227</v>
      </c>
      <c r="AT142" s="387">
        <f t="shared" si="573"/>
        <v>262978.3305639117</v>
      </c>
      <c r="AU142" s="387">
        <f t="shared" si="573"/>
        <v>296975.40818150592</v>
      </c>
      <c r="AV142" s="387">
        <f t="shared" si="573"/>
        <v>321363.65449772571</v>
      </c>
      <c r="AW142" s="387">
        <f t="shared" si="573"/>
        <v>1118516.2402047357</v>
      </c>
      <c r="AX142" s="146"/>
      <c r="AY142" s="146"/>
      <c r="AZ142" s="146"/>
      <c r="BA142" s="146"/>
      <c r="BB142" s="146"/>
      <c r="BC142" s="146"/>
      <c r="BD142" s="146"/>
      <c r="BE142" s="146"/>
      <c r="BF142" s="146"/>
      <c r="BG142" s="146"/>
      <c r="BH142" s="146"/>
      <c r="BI142" s="146"/>
      <c r="BJ142" s="146"/>
      <c r="BK142" s="146"/>
      <c r="BL142" s="146"/>
      <c r="BM142" s="146"/>
      <c r="BN142" s="146"/>
      <c r="BO142" s="146"/>
      <c r="BP142" s="146"/>
    </row>
    <row r="143" spans="2:68">
      <c r="B143" s="143"/>
      <c r="C143" s="143"/>
      <c r="D143" s="143" t="s">
        <v>90</v>
      </c>
      <c r="E143" s="312">
        <f>464543-345044</f>
        <v>119499</v>
      </c>
      <c r="F143" s="312">
        <v>121501</v>
      </c>
      <c r="G143" s="312">
        <f>260328-121501</f>
        <v>138827</v>
      </c>
      <c r="H143" s="312">
        <f>404260-260328</f>
        <v>143932</v>
      </c>
      <c r="I143" s="313">
        <f>SUM(E143:H143)</f>
        <v>523759</v>
      </c>
      <c r="J143" s="312">
        <f>540490-404260</f>
        <v>136230</v>
      </c>
      <c r="K143" s="312">
        <v>110119</v>
      </c>
      <c r="L143" s="351">
        <f>230894-K143</f>
        <v>120775</v>
      </c>
      <c r="M143" s="312">
        <f>381949-230984</f>
        <v>150965</v>
      </c>
      <c r="N143" s="313">
        <f>SUM(J143:M143)</f>
        <v>518089</v>
      </c>
      <c r="O143" s="312">
        <f>515367-381949</f>
        <v>133418</v>
      </c>
      <c r="P143" s="312">
        <v>129500</v>
      </c>
      <c r="Q143" s="351">
        <f>337387-P143-O143</f>
        <v>74469</v>
      </c>
      <c r="R143" s="351">
        <f>466813-Q143-P143-O143</f>
        <v>129426</v>
      </c>
      <c r="S143" s="313">
        <f>SUM(O143:R143)</f>
        <v>466813</v>
      </c>
      <c r="T143" s="351">
        <f>609660-S143</f>
        <v>142847</v>
      </c>
      <c r="U143" s="312">
        <v>131396</v>
      </c>
      <c r="V143" s="351">
        <f>264718-U143</f>
        <v>133322</v>
      </c>
      <c r="W143" s="331">
        <f t="shared" ref="W143:AW143" si="574">W137*W5</f>
        <v>145335.39479443987</v>
      </c>
      <c r="X143" s="331">
        <f t="shared" si="574"/>
        <v>552900.3947944399</v>
      </c>
      <c r="Y143" s="331">
        <f t="shared" si="574"/>
        <v>144032.05245686974</v>
      </c>
      <c r="Z143" s="331">
        <f t="shared" si="574"/>
        <v>134720.83025803303</v>
      </c>
      <c r="AA143" s="331">
        <f t="shared" si="574"/>
        <v>117498.51639387661</v>
      </c>
      <c r="AB143" s="331">
        <f t="shared" si="574"/>
        <v>153086.69306576849</v>
      </c>
      <c r="AC143" s="331">
        <f t="shared" si="574"/>
        <v>549338.09217454784</v>
      </c>
      <c r="AD143" s="331">
        <f t="shared" si="574"/>
        <v>152610.03602336469</v>
      </c>
      <c r="AE143" s="331">
        <f t="shared" si="574"/>
        <v>146032.76799008608</v>
      </c>
      <c r="AF143" s="331">
        <f t="shared" si="574"/>
        <v>121954.49223236706</v>
      </c>
      <c r="AG143" s="331">
        <f t="shared" si="574"/>
        <v>162759.62030928777</v>
      </c>
      <c r="AH143" s="331">
        <f t="shared" si="574"/>
        <v>583356.91655510559</v>
      </c>
      <c r="AI143" s="331">
        <f t="shared" si="574"/>
        <v>161825.97105628854</v>
      </c>
      <c r="AJ143" s="331">
        <f t="shared" si="574"/>
        <v>154177.78130756642</v>
      </c>
      <c r="AK143" s="331">
        <f t="shared" si="574"/>
        <v>142423.26647127711</v>
      </c>
      <c r="AL143" s="331">
        <f t="shared" si="574"/>
        <v>175897.34259384949</v>
      </c>
      <c r="AM143" s="331">
        <f t="shared" si="574"/>
        <v>634324.36142898153</v>
      </c>
      <c r="AN143" s="331">
        <f t="shared" si="574"/>
        <v>168974.99318478242</v>
      </c>
      <c r="AO143" s="331">
        <f t="shared" si="574"/>
        <v>162823.80834261375</v>
      </c>
      <c r="AP143" s="331">
        <f t="shared" si="574"/>
        <v>145150.94772478461</v>
      </c>
      <c r="AQ143" s="331">
        <f t="shared" si="574"/>
        <v>187617.15727566261</v>
      </c>
      <c r="AR143" s="331">
        <f t="shared" si="574"/>
        <v>664566.90652784344</v>
      </c>
      <c r="AS143" s="331">
        <f t="shared" si="574"/>
        <v>178009.10184851519</v>
      </c>
      <c r="AT143" s="331">
        <f t="shared" si="574"/>
        <v>173122.12721465534</v>
      </c>
      <c r="AU143" s="331">
        <f t="shared" si="574"/>
        <v>155412.67832991382</v>
      </c>
      <c r="AV143" s="331">
        <f t="shared" si="574"/>
        <v>200337.33617301841</v>
      </c>
      <c r="AW143" s="331">
        <f t="shared" si="574"/>
        <v>706881.2435661027</v>
      </c>
      <c r="AX143" s="143"/>
      <c r="AY143" s="143"/>
      <c r="AZ143" s="143"/>
      <c r="BA143" s="143"/>
      <c r="BB143" s="143"/>
      <c r="BC143" s="143"/>
      <c r="BD143" s="143"/>
      <c r="BE143" s="143"/>
      <c r="BF143" s="143"/>
      <c r="BG143" s="143"/>
      <c r="BH143" s="143"/>
      <c r="BI143" s="143"/>
      <c r="BJ143" s="143"/>
      <c r="BK143" s="143"/>
      <c r="BL143" s="143"/>
      <c r="BM143" s="143"/>
      <c r="BN143" s="143"/>
      <c r="BO143" s="143"/>
      <c r="BP143" s="143"/>
    </row>
    <row r="144" spans="2:68">
      <c r="B144" s="143"/>
      <c r="C144" s="143"/>
      <c r="D144" s="143"/>
      <c r="E144" s="151"/>
      <c r="F144" s="151"/>
      <c r="G144" s="151"/>
      <c r="H144" s="151"/>
      <c r="I144" s="148"/>
      <c r="J144" s="151"/>
      <c r="K144" s="151"/>
      <c r="L144" s="151"/>
      <c r="M144" s="323"/>
      <c r="N144" s="148"/>
      <c r="O144" s="323"/>
      <c r="P144" s="323"/>
      <c r="Q144" s="323"/>
      <c r="R144" s="323"/>
      <c r="S144" s="148"/>
      <c r="T144" s="151"/>
      <c r="U144" s="151"/>
      <c r="V144" s="151"/>
      <c r="W144" s="156"/>
      <c r="X144" s="156"/>
      <c r="Y144" s="156"/>
      <c r="Z144" s="156"/>
      <c r="AA144" s="156"/>
      <c r="AB144" s="156"/>
      <c r="AC144" s="156"/>
      <c r="AD144" s="156"/>
      <c r="AE144" s="156"/>
      <c r="AF144" s="156"/>
      <c r="AG144" s="156"/>
      <c r="AH144" s="156"/>
      <c r="AI144" s="156"/>
      <c r="AJ144" s="156"/>
      <c r="AK144" s="156"/>
      <c r="AL144" s="156"/>
      <c r="AM144" s="156"/>
      <c r="AN144" s="156"/>
      <c r="AO144" s="156"/>
      <c r="AP144" s="156"/>
      <c r="AQ144" s="156"/>
      <c r="AR144" s="156"/>
      <c r="AS144" s="156"/>
      <c r="AT144" s="156"/>
      <c r="AU144" s="156"/>
      <c r="AV144" s="156"/>
      <c r="AW144" s="156"/>
      <c r="AX144" s="143"/>
      <c r="AY144" s="143"/>
      <c r="AZ144" s="143"/>
      <c r="BA144" s="143"/>
      <c r="BB144" s="143"/>
      <c r="BC144" s="143"/>
      <c r="BD144" s="143"/>
      <c r="BE144" s="143"/>
      <c r="BF144" s="143"/>
      <c r="BG144" s="143"/>
      <c r="BH144" s="143"/>
      <c r="BI144" s="143"/>
      <c r="BJ144" s="143"/>
      <c r="BK144" s="143"/>
      <c r="BL144" s="143"/>
      <c r="BM144" s="143"/>
      <c r="BN144" s="143"/>
      <c r="BO144" s="143"/>
      <c r="BP144" s="143"/>
    </row>
    <row r="145" spans="2:68">
      <c r="B145" s="143"/>
      <c r="C145" s="143"/>
      <c r="D145" s="143" t="s">
        <v>91</v>
      </c>
      <c r="E145" s="349">
        <f>SUM(E146:E151)</f>
        <v>-116349</v>
      </c>
      <c r="F145" s="349">
        <f>SUM(F146:F151)</f>
        <v>-281373</v>
      </c>
      <c r="G145" s="349">
        <f>SUM(G146:G151)</f>
        <v>109847</v>
      </c>
      <c r="H145" s="349">
        <f>SUM(H146:H151)</f>
        <v>91561</v>
      </c>
      <c r="I145" s="313">
        <f>SUM(E145:H145)</f>
        <v>-196314</v>
      </c>
      <c r="J145" s="349">
        <f>SUM(J146:J151)</f>
        <v>-139980</v>
      </c>
      <c r="K145" s="349">
        <f t="shared" ref="K145:M145" si="575">SUM(K146:K151)</f>
        <v>104916</v>
      </c>
      <c r="L145" s="349">
        <f t="shared" si="575"/>
        <v>-34744</v>
      </c>
      <c r="M145" s="349">
        <f t="shared" si="575"/>
        <v>96584</v>
      </c>
      <c r="N145" s="313">
        <f>SUM(J145:M145)</f>
        <v>26776</v>
      </c>
      <c r="O145" s="349">
        <f>SUM(O146:O151)</f>
        <v>35158</v>
      </c>
      <c r="P145" s="349">
        <f t="shared" ref="P145:R145" si="576">SUM(P146:P151)</f>
        <v>20576</v>
      </c>
      <c r="Q145" s="349">
        <f t="shared" si="576"/>
        <v>46075</v>
      </c>
      <c r="R145" s="349">
        <f t="shared" si="576"/>
        <v>186241</v>
      </c>
      <c r="S145" s="313">
        <f>SUM(O145:R145)</f>
        <v>288050</v>
      </c>
      <c r="T145" s="349">
        <f>SUM(T146:T151)</f>
        <v>-166383</v>
      </c>
      <c r="U145" s="349">
        <f t="shared" ref="U145:V145" si="577">SUM(U146:U151)</f>
        <v>-149517</v>
      </c>
      <c r="V145" s="349">
        <f t="shared" si="577"/>
        <v>-51562</v>
      </c>
      <c r="W145" s="347">
        <f t="shared" ref="W145:Y145" si="578">SUM(W146:W151)</f>
        <v>-8917.4119614316151</v>
      </c>
      <c r="X145" s="347">
        <f>SUM(T145:W145)</f>
        <v>-376379.41196143162</v>
      </c>
      <c r="Y145" s="347">
        <f t="shared" si="578"/>
        <v>-91100.621551971883</v>
      </c>
      <c r="Z145" s="347">
        <f t="shared" ref="Z145:AB145" si="579">SUM(Z146:Z151)</f>
        <v>-68691.289827359375</v>
      </c>
      <c r="AA145" s="347">
        <f t="shared" si="579"/>
        <v>-60914.254854555707</v>
      </c>
      <c r="AB145" s="347">
        <f t="shared" si="579"/>
        <v>182278.47759642079</v>
      </c>
      <c r="AC145" s="347">
        <f>SUM(Y145:AB145)</f>
        <v>-38427.68863746617</v>
      </c>
      <c r="AD145" s="347">
        <f t="shared" ref="AD145:AG145" si="580">SUM(AD146:AD151)</f>
        <v>-106610.92755596293</v>
      </c>
      <c r="AE145" s="347">
        <f t="shared" si="580"/>
        <v>-80391.534044030588</v>
      </c>
      <c r="AF145" s="347">
        <f t="shared" si="580"/>
        <v>-93982.776265119202</v>
      </c>
      <c r="AG145" s="347">
        <f t="shared" si="580"/>
        <v>227942.34668466216</v>
      </c>
      <c r="AH145" s="347">
        <f>SUM(AD145:AG145)</f>
        <v>-53042.891180450562</v>
      </c>
      <c r="AI145" s="347">
        <f t="shared" ref="AI145:AL145" si="581">SUM(AI146:AI151)</f>
        <v>-86025.584470638074</v>
      </c>
      <c r="AJ145" s="347">
        <f t="shared" si="581"/>
        <v>-93277.121057786513</v>
      </c>
      <c r="AK145" s="347">
        <f t="shared" si="581"/>
        <v>-95871.25481056422</v>
      </c>
      <c r="AL145" s="347">
        <f t="shared" si="581"/>
        <v>145398.69435425382</v>
      </c>
      <c r="AM145" s="347">
        <f>SUM(AI145:AL145)</f>
        <v>-129775.26598473499</v>
      </c>
      <c r="AN145" s="347">
        <f t="shared" ref="AN145:AQ145" si="582">SUM(AN146:AN151)</f>
        <v>-57632.002099548467</v>
      </c>
      <c r="AO145" s="347">
        <f t="shared" si="582"/>
        <v>-114205.9010541155</v>
      </c>
      <c r="AP145" s="347">
        <f t="shared" si="582"/>
        <v>-121404.61465466814</v>
      </c>
      <c r="AQ145" s="347">
        <f t="shared" si="582"/>
        <v>209282.98251779331</v>
      </c>
      <c r="AR145" s="347">
        <f>SUM(AN145:AQ145)</f>
        <v>-83959.535290538799</v>
      </c>
      <c r="AS145" s="347">
        <f t="shared" ref="AS145:AV145" si="583">SUM(AS146:AS151)</f>
        <v>-40411.378547261003</v>
      </c>
      <c r="AT145" s="347">
        <f t="shared" si="583"/>
        <v>-130838.12059544725</v>
      </c>
      <c r="AU145" s="347">
        <f t="shared" si="583"/>
        <v>-145149.30074144481</v>
      </c>
      <c r="AV145" s="347">
        <f t="shared" si="583"/>
        <v>218631.4027855387</v>
      </c>
      <c r="AW145" s="347">
        <f>SUM(AS145:AV145)</f>
        <v>-97767.397098614369</v>
      </c>
      <c r="AX145" s="143"/>
      <c r="AY145" s="143"/>
      <c r="AZ145" s="143"/>
      <c r="BA145" s="143"/>
      <c r="BB145" s="143"/>
      <c r="BC145" s="143"/>
      <c r="BD145" s="143"/>
      <c r="BE145" s="143"/>
      <c r="BF145" s="143"/>
      <c r="BG145" s="143"/>
      <c r="BH145" s="143"/>
      <c r="BI145" s="143"/>
      <c r="BJ145" s="143"/>
      <c r="BK145" s="143"/>
      <c r="BL145" s="143"/>
      <c r="BM145" s="143"/>
      <c r="BN145" s="143"/>
      <c r="BO145" s="143"/>
      <c r="BP145" s="143"/>
    </row>
    <row r="146" spans="2:68">
      <c r="B146" s="143"/>
      <c r="C146" s="143"/>
      <c r="D146" s="143" t="s">
        <v>50</v>
      </c>
      <c r="E146" s="312">
        <f>-(2697985-2551030)</f>
        <v>-146955</v>
      </c>
      <c r="F146" s="349">
        <f t="shared" ref="F146:H148" si="584">-(F101-E101)</f>
        <v>-196637</v>
      </c>
      <c r="G146" s="349">
        <f t="shared" si="584"/>
        <v>367742</v>
      </c>
      <c r="H146" s="349">
        <f t="shared" si="584"/>
        <v>77107</v>
      </c>
      <c r="I146" s="313">
        <f t="shared" ref="I146:I169" si="585">SUM(E146:H146)</f>
        <v>101257</v>
      </c>
      <c r="J146" s="349">
        <f t="shared" ref="J146:M148" si="586">-(J101-I101)</f>
        <v>112258</v>
      </c>
      <c r="K146" s="349">
        <f t="shared" si="586"/>
        <v>200260</v>
      </c>
      <c r="L146" s="349">
        <f t="shared" si="586"/>
        <v>-409555</v>
      </c>
      <c r="M146" s="349">
        <f t="shared" si="586"/>
        <v>-38099</v>
      </c>
      <c r="N146" s="313">
        <f t="shared" ref="N146:N151" si="587">SUM(J146:M146)</f>
        <v>-135136</v>
      </c>
      <c r="O146" s="349">
        <f t="shared" ref="O146:R148" si="588">-(O101-N101)</f>
        <v>540152</v>
      </c>
      <c r="P146" s="349">
        <f t="shared" si="588"/>
        <v>-13186</v>
      </c>
      <c r="Q146" s="349">
        <f t="shared" si="588"/>
        <v>-283450</v>
      </c>
      <c r="R146" s="349">
        <f t="shared" si="588"/>
        <v>178643</v>
      </c>
      <c r="S146" s="313">
        <f t="shared" ref="S146:S151" si="589">SUM(O146:R146)</f>
        <v>422159</v>
      </c>
      <c r="T146" s="349">
        <f t="shared" ref="T146:W148" si="590">-(T101-S101)</f>
        <v>-29954</v>
      </c>
      <c r="U146" s="349">
        <f t="shared" si="590"/>
        <v>-133141</v>
      </c>
      <c r="V146" s="349">
        <f t="shared" si="590"/>
        <v>-307089</v>
      </c>
      <c r="W146" s="347">
        <f t="shared" si="590"/>
        <v>117253.68994809454</v>
      </c>
      <c r="X146" s="347">
        <f t="shared" ref="X146:X154" si="591">SUM(T146:W146)</f>
        <v>-352930.31005190546</v>
      </c>
      <c r="Y146" s="347">
        <f t="shared" ref="Y146:AB148" si="592">-(Y101-X101)</f>
        <v>221189.43962008785</v>
      </c>
      <c r="Z146" s="347">
        <f t="shared" si="592"/>
        <v>-77315.831972909626</v>
      </c>
      <c r="AA146" s="347">
        <f t="shared" si="592"/>
        <v>-328249.38492771843</v>
      </c>
      <c r="AB146" s="347">
        <f t="shared" si="592"/>
        <v>89503.468951965217</v>
      </c>
      <c r="AC146" s="347">
        <f t="shared" ref="AC146:AC152" si="593">SUM(Y146:AB146)</f>
        <v>-94872.308328574989</v>
      </c>
      <c r="AD146" s="347">
        <f t="shared" ref="AD146:AG148" si="594">-(AD101-AC101)</f>
        <v>239893.47871568101</v>
      </c>
      <c r="AE146" s="347">
        <f t="shared" si="594"/>
        <v>-120315.51014004741</v>
      </c>
      <c r="AF146" s="347">
        <f t="shared" si="594"/>
        <v>-397574.11797935562</v>
      </c>
      <c r="AG146" s="347">
        <f t="shared" si="594"/>
        <v>116934.30960171623</v>
      </c>
      <c r="AH146" s="347">
        <f t="shared" ref="AH146:AH151" si="595">SUM(AD146:AG146)</f>
        <v>-161061.83980200579</v>
      </c>
      <c r="AI146" s="347">
        <f t="shared" ref="AI146:AL148" si="596">-(AI101-AH101)</f>
        <v>246900.68261360144</v>
      </c>
      <c r="AJ146" s="347">
        <f t="shared" si="596"/>
        <v>-166328.71667812858</v>
      </c>
      <c r="AK146" s="347">
        <f t="shared" si="596"/>
        <v>-437573.33710247092</v>
      </c>
      <c r="AL146" s="347">
        <f t="shared" si="596"/>
        <v>115253.36339879222</v>
      </c>
      <c r="AM146" s="347">
        <f t="shared" ref="AM146:AM151" si="597">SUM(AI146:AL146)</f>
        <v>-241748.00776820583</v>
      </c>
      <c r="AN146" s="347">
        <f t="shared" ref="AN146:AQ148" si="598">-(AN101-AM101)</f>
        <v>362519.7530406639</v>
      </c>
      <c r="AO146" s="347">
        <f t="shared" si="598"/>
        <v>-177488.73484766809</v>
      </c>
      <c r="AP146" s="347">
        <f t="shared" si="598"/>
        <v>-488602.97519652592</v>
      </c>
      <c r="AQ146" s="347">
        <f t="shared" si="598"/>
        <v>114094.94411981152</v>
      </c>
      <c r="AR146" s="347">
        <f t="shared" ref="AR146:AR151" si="599">SUM(AN146:AQ146)</f>
        <v>-189477.01288371859</v>
      </c>
      <c r="AS146" s="347">
        <f t="shared" ref="AS146:AV148" si="600">-(AS101-AR101)</f>
        <v>424519.04460154893</v>
      </c>
      <c r="AT146" s="347">
        <f t="shared" si="600"/>
        <v>-215584.44691067701</v>
      </c>
      <c r="AU146" s="347">
        <f t="shared" si="600"/>
        <v>-550992.371263118</v>
      </c>
      <c r="AV146" s="347">
        <f t="shared" si="600"/>
        <v>123680.4663651986</v>
      </c>
      <c r="AW146" s="347">
        <f t="shared" ref="AW146:AW151" si="601">SUM(AS146:AV146)</f>
        <v>-218377.30720704747</v>
      </c>
      <c r="AX146" s="143"/>
      <c r="AY146" s="143"/>
      <c r="AZ146" s="143"/>
      <c r="BA146" s="143"/>
      <c r="BB146" s="143"/>
      <c r="BC146" s="143"/>
      <c r="BD146" s="143"/>
      <c r="BE146" s="143"/>
      <c r="BF146" s="143"/>
      <c r="BG146" s="143"/>
      <c r="BH146" s="143"/>
      <c r="BI146" s="143"/>
      <c r="BJ146" s="143"/>
      <c r="BK146" s="143"/>
      <c r="BL146" s="143"/>
      <c r="BM146" s="143"/>
      <c r="BN146" s="143"/>
      <c r="BO146" s="143"/>
      <c r="BP146" s="143"/>
    </row>
    <row r="147" spans="2:68">
      <c r="B147" s="143"/>
      <c r="C147" s="143"/>
      <c r="D147" s="143" t="s">
        <v>51</v>
      </c>
      <c r="E147" s="312">
        <f>-(3599008-3972127)</f>
        <v>373119</v>
      </c>
      <c r="F147" s="349">
        <f t="shared" si="584"/>
        <v>88845</v>
      </c>
      <c r="G147" s="349">
        <f t="shared" si="584"/>
        <v>-116477</v>
      </c>
      <c r="H147" s="349">
        <f t="shared" si="584"/>
        <v>67000</v>
      </c>
      <c r="I147" s="313">
        <f t="shared" si="585"/>
        <v>412487</v>
      </c>
      <c r="J147" s="349">
        <f t="shared" si="586"/>
        <v>70888</v>
      </c>
      <c r="K147" s="349">
        <f t="shared" si="586"/>
        <v>75322</v>
      </c>
      <c r="L147" s="349">
        <f t="shared" si="586"/>
        <v>-147896</v>
      </c>
      <c r="M147" s="349">
        <f t="shared" si="586"/>
        <v>70593</v>
      </c>
      <c r="N147" s="313">
        <f t="shared" si="587"/>
        <v>68907</v>
      </c>
      <c r="O147" s="349">
        <f t="shared" si="588"/>
        <v>-923</v>
      </c>
      <c r="P147" s="349">
        <f t="shared" si="588"/>
        <v>-103181</v>
      </c>
      <c r="Q147" s="349">
        <f t="shared" si="588"/>
        <v>32620</v>
      </c>
      <c r="R147" s="349">
        <f t="shared" si="588"/>
        <v>68600</v>
      </c>
      <c r="S147" s="313">
        <f t="shared" si="589"/>
        <v>-2884</v>
      </c>
      <c r="T147" s="349">
        <f t="shared" si="590"/>
        <v>97155</v>
      </c>
      <c r="U147" s="349">
        <f t="shared" si="590"/>
        <v>-204713</v>
      </c>
      <c r="V147" s="349">
        <f t="shared" si="590"/>
        <v>-172479</v>
      </c>
      <c r="W147" s="347">
        <f t="shared" si="590"/>
        <v>-84369.473194374237</v>
      </c>
      <c r="X147" s="347">
        <f t="shared" si="591"/>
        <v>-364406.47319437424</v>
      </c>
      <c r="Y147" s="347">
        <f t="shared" si="592"/>
        <v>226426.99557309598</v>
      </c>
      <c r="Z147" s="347">
        <f t="shared" si="592"/>
        <v>-232308.66652055923</v>
      </c>
      <c r="AA147" s="347">
        <f t="shared" si="592"/>
        <v>-25019.213760388084</v>
      </c>
      <c r="AB147" s="347">
        <f t="shared" si="592"/>
        <v>-25086.552693821955</v>
      </c>
      <c r="AC147" s="347">
        <f t="shared" si="593"/>
        <v>-55987.437401673291</v>
      </c>
      <c r="AD147" s="347">
        <f t="shared" si="594"/>
        <v>82961.91465670988</v>
      </c>
      <c r="AE147" s="347">
        <f t="shared" si="594"/>
        <v>-257774.68825875269</v>
      </c>
      <c r="AF147" s="347">
        <f t="shared" si="594"/>
        <v>-115681.38469559932</v>
      </c>
      <c r="AG147" s="347">
        <f t="shared" si="594"/>
        <v>-91074.880006782711</v>
      </c>
      <c r="AH147" s="347">
        <f t="shared" si="595"/>
        <v>-381569.03830442484</v>
      </c>
      <c r="AI147" s="347">
        <f t="shared" si="596"/>
        <v>296222.55652036285</v>
      </c>
      <c r="AJ147" s="347">
        <f t="shared" si="596"/>
        <v>-324515.47790504107</v>
      </c>
      <c r="AK147" s="347">
        <f t="shared" si="596"/>
        <v>-185936.95290229842</v>
      </c>
      <c r="AL147" s="347">
        <f t="shared" si="596"/>
        <v>-94241.757833884098</v>
      </c>
      <c r="AM147" s="347">
        <f t="shared" si="597"/>
        <v>-308471.63212086074</v>
      </c>
      <c r="AN147" s="347">
        <f t="shared" si="598"/>
        <v>378094.15518028941</v>
      </c>
      <c r="AO147" s="347">
        <f t="shared" si="598"/>
        <v>-371972.94072282314</v>
      </c>
      <c r="AP147" s="347">
        <f t="shared" si="598"/>
        <v>-197596.78580433037</v>
      </c>
      <c r="AQ147" s="347">
        <f t="shared" si="598"/>
        <v>-90777.677241691388</v>
      </c>
      <c r="AR147" s="347">
        <f t="shared" si="599"/>
        <v>-282253.24858855549</v>
      </c>
      <c r="AS147" s="347">
        <f t="shared" si="600"/>
        <v>446454.932241817</v>
      </c>
      <c r="AT147" s="347">
        <f t="shared" si="600"/>
        <v>-423825.68703597598</v>
      </c>
      <c r="AU147" s="347">
        <f t="shared" si="600"/>
        <v>-267843.34302452952</v>
      </c>
      <c r="AV147" s="347">
        <f t="shared" si="600"/>
        <v>-117971.63386237901</v>
      </c>
      <c r="AW147" s="347">
        <f t="shared" si="601"/>
        <v>-363185.7316810675</v>
      </c>
      <c r="AX147" s="143"/>
      <c r="AY147" s="143"/>
      <c r="AZ147" s="143"/>
      <c r="BA147" s="143"/>
      <c r="BB147" s="143"/>
      <c r="BC147" s="143"/>
      <c r="BD147" s="143"/>
      <c r="BE147" s="143"/>
      <c r="BF147" s="143"/>
      <c r="BG147" s="143"/>
      <c r="BH147" s="143"/>
      <c r="BI147" s="143"/>
      <c r="BJ147" s="143"/>
      <c r="BK147" s="143"/>
      <c r="BL147" s="143"/>
      <c r="BM147" s="143"/>
      <c r="BN147" s="143"/>
      <c r="BO147" s="143"/>
      <c r="BP147" s="143"/>
    </row>
    <row r="148" spans="2:68">
      <c r="B148" s="143"/>
      <c r="C148" s="143"/>
      <c r="D148" s="143" t="s">
        <v>52</v>
      </c>
      <c r="E148" s="312">
        <f>-(1509605-1552521)</f>
        <v>42916</v>
      </c>
      <c r="F148" s="349">
        <f t="shared" si="584"/>
        <v>272657</v>
      </c>
      <c r="G148" s="349">
        <f t="shared" si="584"/>
        <v>25760</v>
      </c>
      <c r="H148" s="349">
        <f t="shared" si="584"/>
        <v>-205398</v>
      </c>
      <c r="I148" s="313">
        <f t="shared" si="585"/>
        <v>135935</v>
      </c>
      <c r="J148" s="349">
        <f t="shared" si="586"/>
        <v>130361</v>
      </c>
      <c r="K148" s="349">
        <f t="shared" si="586"/>
        <v>88094</v>
      </c>
      <c r="L148" s="349">
        <f t="shared" si="586"/>
        <v>-10800</v>
      </c>
      <c r="M148" s="349">
        <f t="shared" si="586"/>
        <v>-37837</v>
      </c>
      <c r="N148" s="313">
        <f t="shared" si="587"/>
        <v>169818</v>
      </c>
      <c r="O148" s="349">
        <f t="shared" si="588"/>
        <v>75625</v>
      </c>
      <c r="P148" s="349">
        <f t="shared" si="588"/>
        <v>82299</v>
      </c>
      <c r="Q148" s="349">
        <f t="shared" si="588"/>
        <v>70890</v>
      </c>
      <c r="R148" s="349">
        <f t="shared" si="588"/>
        <v>-82205</v>
      </c>
      <c r="S148" s="313">
        <f t="shared" si="589"/>
        <v>146609</v>
      </c>
      <c r="T148" s="349">
        <f t="shared" si="590"/>
        <v>132224</v>
      </c>
      <c r="U148" s="349">
        <f t="shared" si="590"/>
        <v>-81157</v>
      </c>
      <c r="V148" s="349">
        <f t="shared" si="590"/>
        <v>-42865</v>
      </c>
      <c r="W148" s="347">
        <f t="shared" si="590"/>
        <v>0</v>
      </c>
      <c r="X148" s="347">
        <f t="shared" si="591"/>
        <v>8202</v>
      </c>
      <c r="Y148" s="347">
        <f t="shared" si="592"/>
        <v>0</v>
      </c>
      <c r="Z148" s="347">
        <f t="shared" si="592"/>
        <v>0</v>
      </c>
      <c r="AA148" s="347">
        <f t="shared" si="592"/>
        <v>0</v>
      </c>
      <c r="AB148" s="347">
        <f t="shared" si="592"/>
        <v>0</v>
      </c>
      <c r="AC148" s="347">
        <f t="shared" si="593"/>
        <v>0</v>
      </c>
      <c r="AD148" s="347">
        <f t="shared" si="594"/>
        <v>0</v>
      </c>
      <c r="AE148" s="347">
        <f t="shared" si="594"/>
        <v>0</v>
      </c>
      <c r="AF148" s="347">
        <f t="shared" si="594"/>
        <v>0</v>
      </c>
      <c r="AG148" s="347">
        <f t="shared" si="594"/>
        <v>0</v>
      </c>
      <c r="AH148" s="347">
        <f t="shared" si="595"/>
        <v>0</v>
      </c>
      <c r="AI148" s="347">
        <f t="shared" si="596"/>
        <v>0</v>
      </c>
      <c r="AJ148" s="347">
        <f t="shared" si="596"/>
        <v>0</v>
      </c>
      <c r="AK148" s="347">
        <f t="shared" si="596"/>
        <v>0</v>
      </c>
      <c r="AL148" s="347">
        <f t="shared" si="596"/>
        <v>0</v>
      </c>
      <c r="AM148" s="347">
        <f t="shared" si="597"/>
        <v>0</v>
      </c>
      <c r="AN148" s="347">
        <f t="shared" si="598"/>
        <v>0</v>
      </c>
      <c r="AO148" s="347">
        <f t="shared" si="598"/>
        <v>0</v>
      </c>
      <c r="AP148" s="347">
        <f t="shared" si="598"/>
        <v>0</v>
      </c>
      <c r="AQ148" s="347">
        <f t="shared" si="598"/>
        <v>0</v>
      </c>
      <c r="AR148" s="347">
        <f t="shared" si="599"/>
        <v>0</v>
      </c>
      <c r="AS148" s="347">
        <f t="shared" si="600"/>
        <v>0</v>
      </c>
      <c r="AT148" s="347">
        <f t="shared" si="600"/>
        <v>0</v>
      </c>
      <c r="AU148" s="347">
        <f t="shared" si="600"/>
        <v>0</v>
      </c>
      <c r="AV148" s="347">
        <f t="shared" si="600"/>
        <v>0</v>
      </c>
      <c r="AW148" s="347">
        <f t="shared" si="601"/>
        <v>0</v>
      </c>
      <c r="AX148" s="143"/>
      <c r="AY148" s="143"/>
      <c r="AZ148" s="143"/>
      <c r="BA148" s="143"/>
      <c r="BB148" s="143"/>
      <c r="BC148" s="143"/>
      <c r="BD148" s="143"/>
      <c r="BE148" s="143"/>
      <c r="BF148" s="143"/>
      <c r="BG148" s="143"/>
      <c r="BH148" s="143"/>
      <c r="BI148" s="143"/>
      <c r="BJ148" s="143"/>
      <c r="BK148" s="143"/>
      <c r="BL148" s="143"/>
      <c r="BM148" s="143"/>
      <c r="BN148" s="143"/>
      <c r="BO148" s="143"/>
      <c r="BP148" s="143"/>
    </row>
    <row r="149" spans="2:68">
      <c r="B149" s="143"/>
      <c r="C149" s="143"/>
      <c r="D149" s="143" t="s">
        <v>58</v>
      </c>
      <c r="E149" s="351">
        <f>E113-4968640</f>
        <v>-220861</v>
      </c>
      <c r="F149" s="349">
        <f t="shared" ref="F149:H151" si="602">F113-E113</f>
        <v>-5746</v>
      </c>
      <c r="G149" s="349">
        <f t="shared" si="602"/>
        <v>-48507</v>
      </c>
      <c r="H149" s="349">
        <f t="shared" si="602"/>
        <v>156989</v>
      </c>
      <c r="I149" s="313">
        <f t="shared" si="585"/>
        <v>-118125</v>
      </c>
      <c r="J149" s="349">
        <f t="shared" ref="J149:M151" si="603">J113-I113</f>
        <v>-289321</v>
      </c>
      <c r="K149" s="349">
        <f t="shared" si="603"/>
        <v>-224281</v>
      </c>
      <c r="L149" s="349">
        <f t="shared" si="603"/>
        <v>451028</v>
      </c>
      <c r="M149" s="349">
        <f t="shared" si="603"/>
        <v>14253</v>
      </c>
      <c r="N149" s="313">
        <f t="shared" si="587"/>
        <v>-48321</v>
      </c>
      <c r="O149" s="349">
        <f t="shared" ref="O149:R151" si="604">O113-N113</f>
        <v>-553902</v>
      </c>
      <c r="P149" s="349">
        <f t="shared" si="604"/>
        <v>69279</v>
      </c>
      <c r="Q149" s="349">
        <f t="shared" si="604"/>
        <v>196995</v>
      </c>
      <c r="R149" s="349">
        <f t="shared" si="604"/>
        <v>185168</v>
      </c>
      <c r="S149" s="313">
        <f t="shared" si="589"/>
        <v>-102460</v>
      </c>
      <c r="T149" s="349">
        <f t="shared" ref="T149:W151" si="605">T113-S113</f>
        <v>-214826</v>
      </c>
      <c r="U149" s="349">
        <f t="shared" si="605"/>
        <v>296128</v>
      </c>
      <c r="V149" s="349">
        <f t="shared" si="605"/>
        <v>450094</v>
      </c>
      <c r="W149" s="347">
        <f t="shared" si="605"/>
        <v>-41801.628715151921</v>
      </c>
      <c r="X149" s="347">
        <f t="shared" si="591"/>
        <v>489594.37128484808</v>
      </c>
      <c r="Y149" s="347">
        <f t="shared" ref="Y149:AB151" si="606">Y113-X113</f>
        <v>-538717.05674515571</v>
      </c>
      <c r="Z149" s="347">
        <f t="shared" si="606"/>
        <v>240933.20866610948</v>
      </c>
      <c r="AA149" s="347">
        <f t="shared" si="606"/>
        <v>292354.34383355081</v>
      </c>
      <c r="AB149" s="347">
        <f t="shared" si="606"/>
        <v>117861.56133827753</v>
      </c>
      <c r="AC149" s="347">
        <f t="shared" si="593"/>
        <v>112432.05709278211</v>
      </c>
      <c r="AD149" s="347">
        <f t="shared" ref="AD149:AG151" si="607">AD113-AC113</f>
        <v>-429466.32092835382</v>
      </c>
      <c r="AE149" s="347">
        <f t="shared" si="607"/>
        <v>297698.66435476951</v>
      </c>
      <c r="AF149" s="347">
        <f t="shared" si="607"/>
        <v>419272.72640983574</v>
      </c>
      <c r="AG149" s="347">
        <f t="shared" si="607"/>
        <v>202082.91708972864</v>
      </c>
      <c r="AH149" s="347">
        <f t="shared" si="595"/>
        <v>489587.98692598008</v>
      </c>
      <c r="AI149" s="347">
        <f t="shared" ref="AI149:AL151" si="608">AI113-AH113</f>
        <v>-629148.82360460237</v>
      </c>
      <c r="AJ149" s="347">
        <f t="shared" si="608"/>
        <v>397567.07352538314</v>
      </c>
      <c r="AK149" s="347">
        <f t="shared" si="608"/>
        <v>527639.03519420512</v>
      </c>
      <c r="AL149" s="347">
        <f t="shared" si="608"/>
        <v>124387.0887893457</v>
      </c>
      <c r="AM149" s="347">
        <f t="shared" si="597"/>
        <v>420444.37390433159</v>
      </c>
      <c r="AN149" s="347">
        <f t="shared" ref="AN149:AQ151" si="609">AN113-AM113</f>
        <v>-798245.91032050177</v>
      </c>
      <c r="AO149" s="347">
        <f t="shared" si="609"/>
        <v>435255.77451637574</v>
      </c>
      <c r="AP149" s="347">
        <f t="shared" si="609"/>
        <v>564795.14634618815</v>
      </c>
      <c r="AQ149" s="347">
        <f t="shared" si="609"/>
        <v>185965.71563967317</v>
      </c>
      <c r="AR149" s="347">
        <f t="shared" si="599"/>
        <v>387770.72618173528</v>
      </c>
      <c r="AS149" s="347">
        <f t="shared" ref="AS149:AV151" si="610">AS113-AR113</f>
        <v>-911385.35539062694</v>
      </c>
      <c r="AT149" s="347">
        <f t="shared" si="610"/>
        <v>508572.01335120574</v>
      </c>
      <c r="AU149" s="347">
        <f t="shared" si="610"/>
        <v>673686.4135462027</v>
      </c>
      <c r="AV149" s="347">
        <f t="shared" si="610"/>
        <v>212922.5702827191</v>
      </c>
      <c r="AW149" s="347">
        <f t="shared" si="601"/>
        <v>483795.6417895006</v>
      </c>
      <c r="AX149" s="143"/>
      <c r="AY149" s="143"/>
      <c r="AZ149" s="143"/>
      <c r="BA149" s="143"/>
      <c r="BB149" s="143"/>
      <c r="BC149" s="143"/>
      <c r="BD149" s="143"/>
      <c r="BE149" s="143"/>
      <c r="BF149" s="143"/>
      <c r="BG149" s="143"/>
      <c r="BH149" s="143"/>
      <c r="BI149" s="143"/>
      <c r="BJ149" s="143"/>
      <c r="BK149" s="143"/>
      <c r="BL149" s="143"/>
      <c r="BM149" s="143"/>
      <c r="BN149" s="143"/>
      <c r="BO149" s="143"/>
      <c r="BP149" s="143"/>
    </row>
    <row r="150" spans="2:68">
      <c r="B150" s="143"/>
      <c r="C150" s="143"/>
      <c r="D150" s="143" t="s">
        <v>59</v>
      </c>
      <c r="E150" s="351">
        <f>E114-385640</f>
        <v>-30751</v>
      </c>
      <c r="F150" s="349">
        <f t="shared" si="602"/>
        <v>22244</v>
      </c>
      <c r="G150" s="349">
        <f t="shared" si="602"/>
        <v>4133</v>
      </c>
      <c r="H150" s="349">
        <f t="shared" si="602"/>
        <v>-35727</v>
      </c>
      <c r="I150" s="313">
        <f t="shared" si="585"/>
        <v>-40101</v>
      </c>
      <c r="J150" s="349">
        <f t="shared" si="603"/>
        <v>-5800</v>
      </c>
      <c r="K150" s="349">
        <f t="shared" si="603"/>
        <v>23790</v>
      </c>
      <c r="L150" s="349">
        <f t="shared" si="603"/>
        <v>37471</v>
      </c>
      <c r="M150" s="349">
        <f t="shared" si="603"/>
        <v>-40991</v>
      </c>
      <c r="N150" s="313">
        <f t="shared" si="587"/>
        <v>14470</v>
      </c>
      <c r="O150" s="349">
        <f t="shared" si="604"/>
        <v>-6462</v>
      </c>
      <c r="P150" s="349">
        <f t="shared" si="604"/>
        <v>23980</v>
      </c>
      <c r="Q150" s="349">
        <f t="shared" si="604"/>
        <v>33060</v>
      </c>
      <c r="R150" s="349">
        <f t="shared" si="604"/>
        <v>-52665</v>
      </c>
      <c r="S150" s="313">
        <f t="shared" si="589"/>
        <v>-2087</v>
      </c>
      <c r="T150" s="349">
        <f t="shared" si="605"/>
        <v>-13677</v>
      </c>
      <c r="U150" s="349">
        <f t="shared" si="605"/>
        <v>15108</v>
      </c>
      <c r="V150" s="349">
        <f t="shared" si="605"/>
        <v>40721</v>
      </c>
      <c r="W150" s="347">
        <f t="shared" si="605"/>
        <v>0</v>
      </c>
      <c r="X150" s="347">
        <f t="shared" si="591"/>
        <v>42152</v>
      </c>
      <c r="Y150" s="347">
        <f t="shared" si="606"/>
        <v>0</v>
      </c>
      <c r="Z150" s="347">
        <f t="shared" si="606"/>
        <v>0</v>
      </c>
      <c r="AA150" s="347">
        <f t="shared" si="606"/>
        <v>0</v>
      </c>
      <c r="AB150" s="347">
        <f t="shared" si="606"/>
        <v>0</v>
      </c>
      <c r="AC150" s="347">
        <f t="shared" si="593"/>
        <v>0</v>
      </c>
      <c r="AD150" s="347">
        <f t="shared" si="607"/>
        <v>0</v>
      </c>
      <c r="AE150" s="347">
        <f t="shared" si="607"/>
        <v>0</v>
      </c>
      <c r="AF150" s="347">
        <f t="shared" si="607"/>
        <v>0</v>
      </c>
      <c r="AG150" s="347">
        <f t="shared" si="607"/>
        <v>0</v>
      </c>
      <c r="AH150" s="347">
        <f t="shared" si="595"/>
        <v>0</v>
      </c>
      <c r="AI150" s="347">
        <f t="shared" si="608"/>
        <v>0</v>
      </c>
      <c r="AJ150" s="347">
        <f t="shared" si="608"/>
        <v>0</v>
      </c>
      <c r="AK150" s="347">
        <f t="shared" si="608"/>
        <v>0</v>
      </c>
      <c r="AL150" s="347">
        <f t="shared" si="608"/>
        <v>0</v>
      </c>
      <c r="AM150" s="347">
        <f t="shared" si="597"/>
        <v>0</v>
      </c>
      <c r="AN150" s="347">
        <f t="shared" si="609"/>
        <v>0</v>
      </c>
      <c r="AO150" s="347">
        <f t="shared" si="609"/>
        <v>0</v>
      </c>
      <c r="AP150" s="347">
        <f t="shared" si="609"/>
        <v>0</v>
      </c>
      <c r="AQ150" s="347">
        <f t="shared" si="609"/>
        <v>0</v>
      </c>
      <c r="AR150" s="347">
        <f t="shared" si="599"/>
        <v>0</v>
      </c>
      <c r="AS150" s="347">
        <f t="shared" si="610"/>
        <v>0</v>
      </c>
      <c r="AT150" s="347">
        <f t="shared" si="610"/>
        <v>0</v>
      </c>
      <c r="AU150" s="347">
        <f t="shared" si="610"/>
        <v>0</v>
      </c>
      <c r="AV150" s="347">
        <f t="shared" si="610"/>
        <v>0</v>
      </c>
      <c r="AW150" s="347">
        <f t="shared" si="601"/>
        <v>0</v>
      </c>
      <c r="AX150" s="143"/>
      <c r="AY150" s="143"/>
      <c r="AZ150" s="143"/>
      <c r="BA150" s="143"/>
      <c r="BB150" s="143"/>
      <c r="BC150" s="143"/>
      <c r="BD150" s="143"/>
      <c r="BE150" s="143"/>
      <c r="BF150" s="143"/>
      <c r="BG150" s="143"/>
      <c r="BH150" s="143"/>
      <c r="BI150" s="143"/>
      <c r="BJ150" s="143"/>
      <c r="BK150" s="143"/>
      <c r="BL150" s="143"/>
      <c r="BM150" s="143"/>
      <c r="BN150" s="143"/>
      <c r="BO150" s="143"/>
      <c r="BP150" s="143"/>
    </row>
    <row r="151" spans="2:68">
      <c r="B151" s="143"/>
      <c r="C151" s="143"/>
      <c r="D151" s="143" t="s">
        <v>60</v>
      </c>
      <c r="E151" s="351">
        <f>E115-2655261</f>
        <v>-133817</v>
      </c>
      <c r="F151" s="349">
        <f t="shared" si="602"/>
        <v>-462736</v>
      </c>
      <c r="G151" s="349">
        <f t="shared" si="602"/>
        <v>-122804</v>
      </c>
      <c r="H151" s="349">
        <f t="shared" si="602"/>
        <v>31590</v>
      </c>
      <c r="I151" s="313">
        <f t="shared" si="585"/>
        <v>-687767</v>
      </c>
      <c r="J151" s="349">
        <f t="shared" si="603"/>
        <v>-158366</v>
      </c>
      <c r="K151" s="349">
        <f t="shared" si="603"/>
        <v>-58269</v>
      </c>
      <c r="L151" s="349">
        <f t="shared" si="603"/>
        <v>45008</v>
      </c>
      <c r="M151" s="349">
        <f t="shared" si="603"/>
        <v>128665</v>
      </c>
      <c r="N151" s="313">
        <f t="shared" si="587"/>
        <v>-42962</v>
      </c>
      <c r="O151" s="349">
        <f t="shared" si="604"/>
        <v>-19332</v>
      </c>
      <c r="P151" s="349">
        <f t="shared" si="604"/>
        <v>-38615</v>
      </c>
      <c r="Q151" s="349">
        <f t="shared" si="604"/>
        <v>-4040</v>
      </c>
      <c r="R151" s="349">
        <f t="shared" si="604"/>
        <v>-111300</v>
      </c>
      <c r="S151" s="313">
        <f t="shared" si="589"/>
        <v>-173287</v>
      </c>
      <c r="T151" s="349">
        <f t="shared" si="605"/>
        <v>-137305</v>
      </c>
      <c r="U151" s="349">
        <f t="shared" si="605"/>
        <v>-41742</v>
      </c>
      <c r="V151" s="349">
        <f t="shared" si="605"/>
        <v>-19944</v>
      </c>
      <c r="W151" s="347">
        <f t="shared" si="605"/>
        <v>0</v>
      </c>
      <c r="X151" s="347">
        <f t="shared" si="591"/>
        <v>-198991</v>
      </c>
      <c r="Y151" s="347">
        <f t="shared" si="606"/>
        <v>0</v>
      </c>
      <c r="Z151" s="347">
        <f t="shared" si="606"/>
        <v>0</v>
      </c>
      <c r="AA151" s="347">
        <f t="shared" si="606"/>
        <v>0</v>
      </c>
      <c r="AB151" s="347">
        <f t="shared" si="606"/>
        <v>0</v>
      </c>
      <c r="AC151" s="347">
        <f t="shared" si="593"/>
        <v>0</v>
      </c>
      <c r="AD151" s="347">
        <f t="shared" si="607"/>
        <v>0</v>
      </c>
      <c r="AE151" s="347">
        <f t="shared" si="607"/>
        <v>0</v>
      </c>
      <c r="AF151" s="347">
        <f t="shared" si="607"/>
        <v>0</v>
      </c>
      <c r="AG151" s="347">
        <f t="shared" si="607"/>
        <v>0</v>
      </c>
      <c r="AH151" s="347">
        <f t="shared" si="595"/>
        <v>0</v>
      </c>
      <c r="AI151" s="347">
        <f t="shared" si="608"/>
        <v>0</v>
      </c>
      <c r="AJ151" s="347">
        <f t="shared" si="608"/>
        <v>0</v>
      </c>
      <c r="AK151" s="347">
        <f t="shared" si="608"/>
        <v>0</v>
      </c>
      <c r="AL151" s="347">
        <f t="shared" si="608"/>
        <v>0</v>
      </c>
      <c r="AM151" s="347">
        <f t="shared" si="597"/>
        <v>0</v>
      </c>
      <c r="AN151" s="347">
        <f t="shared" si="609"/>
        <v>0</v>
      </c>
      <c r="AO151" s="347">
        <f t="shared" si="609"/>
        <v>0</v>
      </c>
      <c r="AP151" s="347">
        <f t="shared" si="609"/>
        <v>0</v>
      </c>
      <c r="AQ151" s="347">
        <f t="shared" si="609"/>
        <v>0</v>
      </c>
      <c r="AR151" s="347">
        <f t="shared" si="599"/>
        <v>0</v>
      </c>
      <c r="AS151" s="347">
        <f t="shared" si="610"/>
        <v>0</v>
      </c>
      <c r="AT151" s="347">
        <f t="shared" si="610"/>
        <v>0</v>
      </c>
      <c r="AU151" s="347">
        <f t="shared" si="610"/>
        <v>0</v>
      </c>
      <c r="AV151" s="347">
        <f t="shared" si="610"/>
        <v>0</v>
      </c>
      <c r="AW151" s="347">
        <f t="shared" si="601"/>
        <v>0</v>
      </c>
      <c r="AX151" s="143"/>
      <c r="AY151" s="143"/>
      <c r="AZ151" s="143"/>
      <c r="BA151" s="143"/>
      <c r="BB151" s="143"/>
      <c r="BC151" s="143"/>
      <c r="BD151" s="143"/>
      <c r="BE151" s="143"/>
      <c r="BF151" s="143"/>
      <c r="BG151" s="143"/>
      <c r="BH151" s="143"/>
      <c r="BI151" s="143"/>
      <c r="BJ151" s="143"/>
      <c r="BK151" s="143"/>
      <c r="BL151" s="143"/>
      <c r="BM151" s="143"/>
      <c r="BN151" s="143"/>
      <c r="BO151" s="143"/>
      <c r="BP151" s="143"/>
    </row>
    <row r="152" spans="2:68" s="71" customFormat="1">
      <c r="B152" s="146"/>
      <c r="C152" s="146"/>
      <c r="D152" s="153" t="s">
        <v>92</v>
      </c>
      <c r="E152" s="350">
        <f>1216460-1118307</f>
        <v>98153</v>
      </c>
      <c r="F152" s="350">
        <v>-81169</v>
      </c>
      <c r="G152" s="350">
        <f>306245--81169</f>
        <v>387414</v>
      </c>
      <c r="H152" s="350">
        <f>669424-306245</f>
        <v>363179</v>
      </c>
      <c r="I152" s="318">
        <f t="shared" si="585"/>
        <v>767577</v>
      </c>
      <c r="J152" s="350">
        <f>794034-669424</f>
        <v>124610</v>
      </c>
      <c r="K152" s="350">
        <v>362276</v>
      </c>
      <c r="L152" s="352">
        <f>661995-K152-J152</f>
        <v>175109</v>
      </c>
      <c r="M152" s="352">
        <f>939772-J152-K152-L152</f>
        <v>277777</v>
      </c>
      <c r="N152" s="318">
        <f t="shared" ref="N152" si="611">SUM(J152:M152)</f>
        <v>939772</v>
      </c>
      <c r="O152" s="311">
        <f>1136445-N152</f>
        <v>196673</v>
      </c>
      <c r="P152" s="350">
        <v>263932</v>
      </c>
      <c r="Q152" s="352">
        <f>543552-P152</f>
        <v>279620</v>
      </c>
      <c r="R152" s="352">
        <f>1013188-Q152-O152-P152</f>
        <v>272963</v>
      </c>
      <c r="S152" s="318">
        <f t="shared" ref="S152" si="612">SUM(O152:R152)</f>
        <v>1013188</v>
      </c>
      <c r="T152" s="352">
        <f>1149909-S152</f>
        <v>136721</v>
      </c>
      <c r="U152" s="350">
        <v>138516</v>
      </c>
      <c r="V152" s="352">
        <f>280805-U152</f>
        <v>142289</v>
      </c>
      <c r="W152" s="330">
        <f>W142+W143+W145</f>
        <v>350015.98283300817</v>
      </c>
      <c r="X152" s="330">
        <f t="shared" si="591"/>
        <v>767541.98283300817</v>
      </c>
      <c r="Y152" s="330">
        <f>Y142+Y143+Y145</f>
        <v>227782.54359267699</v>
      </c>
      <c r="Z152" s="330">
        <f>Z142+Z143+Z145</f>
        <v>250402.7975631716</v>
      </c>
      <c r="AA152" s="330">
        <f>AA142+AA143+AA145</f>
        <v>255332.55686217319</v>
      </c>
      <c r="AB152" s="330">
        <f>AB142+AB143+AB145</f>
        <v>550740.64739453525</v>
      </c>
      <c r="AC152" s="330">
        <f t="shared" si="593"/>
        <v>1284258.5454125572</v>
      </c>
      <c r="AD152" s="330">
        <f>AD142+AD143+AD145</f>
        <v>235798.47127911268</v>
      </c>
      <c r="AE152" s="330">
        <f>AE142+AE143+AE145</f>
        <v>268641.6906694154</v>
      </c>
      <c r="AF152" s="330">
        <f>AF142+AF143+AF145</f>
        <v>249608.37150558084</v>
      </c>
      <c r="AG152" s="330">
        <f>AG142+AG143+AG145</f>
        <v>630709.27561529516</v>
      </c>
      <c r="AH152" s="330">
        <f t="shared" ref="AH152" si="613">SUM(AD152:AG152)</f>
        <v>1384757.8090694041</v>
      </c>
      <c r="AI152" s="330">
        <f>AI142+AI143+AI145</f>
        <v>281160.60338155401</v>
      </c>
      <c r="AJ152" s="330">
        <f>AJ142+AJ143+AJ145</f>
        <v>283433.75512020907</v>
      </c>
      <c r="AK152" s="330">
        <f>AK142+AK143+AK145</f>
        <v>292448.99282870837</v>
      </c>
      <c r="AL152" s="330">
        <f>AL142+AL143+AL145</f>
        <v>587451.33633033803</v>
      </c>
      <c r="AM152" s="330">
        <f t="shared" ref="AM152" si="614">SUM(AI152:AL152)</f>
        <v>1444494.6876608096</v>
      </c>
      <c r="AN152" s="330">
        <f>AN142+AN143+AN145</f>
        <v>332585.32325615059</v>
      </c>
      <c r="AO152" s="330">
        <f>AO142+AO143+AO145</f>
        <v>291245.27204696543</v>
      </c>
      <c r="AP152" s="330">
        <f>AP142+AP143+AP145</f>
        <v>294880.05193776841</v>
      </c>
      <c r="AQ152" s="330">
        <f>AQ142+AQ143+AQ145</f>
        <v>690305.50894802262</v>
      </c>
      <c r="AR152" s="330">
        <f t="shared" ref="AR152" si="615">SUM(AN152:AQ152)</f>
        <v>1609016.1561889071</v>
      </c>
      <c r="AS152" s="330">
        <f>AS142+AS143+AS145</f>
        <v>374796.57026284642</v>
      </c>
      <c r="AT152" s="330">
        <f>AT142+AT143+AT145</f>
        <v>305262.33718311979</v>
      </c>
      <c r="AU152" s="330">
        <f>AU142+AU143+AU145</f>
        <v>307238.78576997493</v>
      </c>
      <c r="AV152" s="330">
        <f>AV142+AV143+AV145</f>
        <v>740332.39345628279</v>
      </c>
      <c r="AW152" s="330">
        <f t="shared" ref="AW152" si="616">SUM(AS152:AV152)</f>
        <v>1727630.0866722241</v>
      </c>
      <c r="AX152" s="146"/>
      <c r="AY152" s="146"/>
      <c r="AZ152" s="146"/>
      <c r="BA152" s="146"/>
      <c r="BB152" s="146"/>
      <c r="BC152" s="146"/>
      <c r="BD152" s="146"/>
      <c r="BE152" s="146"/>
      <c r="BF152" s="146"/>
      <c r="BG152" s="146"/>
      <c r="BH152" s="146"/>
      <c r="BI152" s="146"/>
      <c r="BJ152" s="146"/>
      <c r="BK152" s="146"/>
      <c r="BL152" s="146"/>
      <c r="BM152" s="146"/>
      <c r="BN152" s="146"/>
      <c r="BO152" s="146"/>
      <c r="BP152" s="146"/>
    </row>
    <row r="153" spans="2:68">
      <c r="B153" s="143"/>
      <c r="C153" s="143"/>
      <c r="D153" s="143"/>
      <c r="E153" s="151"/>
      <c r="F153" s="151"/>
      <c r="G153" s="151"/>
      <c r="H153" s="151"/>
      <c r="I153" s="148"/>
      <c r="J153" s="151"/>
      <c r="K153" s="151"/>
      <c r="L153" s="151"/>
      <c r="M153" s="323"/>
      <c r="N153" s="148"/>
      <c r="O153" s="323"/>
      <c r="P153" s="323"/>
      <c r="Q153" s="323"/>
      <c r="R153" s="323"/>
      <c r="S153" s="148"/>
      <c r="T153" s="151"/>
      <c r="U153" s="151"/>
      <c r="V153" s="151"/>
      <c r="W153" s="156"/>
      <c r="X153" s="156"/>
      <c r="Y153" s="156"/>
      <c r="Z153" s="156"/>
      <c r="AA153" s="156"/>
      <c r="AB153" s="156"/>
      <c r="AC153" s="156"/>
      <c r="AD153" s="156"/>
      <c r="AE153" s="156"/>
      <c r="AF153" s="156"/>
      <c r="AG153" s="156"/>
      <c r="AH153" s="156"/>
      <c r="AI153" s="156"/>
      <c r="AJ153" s="156"/>
      <c r="AK153" s="156"/>
      <c r="AL153" s="156"/>
      <c r="AM153" s="156"/>
      <c r="AN153" s="156"/>
      <c r="AO153" s="156"/>
      <c r="AP153" s="156"/>
      <c r="AQ153" s="156"/>
      <c r="AR153" s="156"/>
      <c r="AS153" s="156"/>
      <c r="AT153" s="156"/>
      <c r="AU153" s="156"/>
      <c r="AV153" s="156"/>
      <c r="AW153" s="156"/>
      <c r="AX153" s="143"/>
      <c r="AY153" s="143"/>
      <c r="AZ153" s="143"/>
      <c r="BA153" s="143"/>
      <c r="BB153" s="143"/>
      <c r="BC153" s="143"/>
      <c r="BD153" s="143"/>
      <c r="BE153" s="143"/>
      <c r="BF153" s="143"/>
      <c r="BG153" s="143"/>
      <c r="BH153" s="143"/>
      <c r="BI153" s="143"/>
      <c r="BJ153" s="143"/>
      <c r="BK153" s="143"/>
      <c r="BL153" s="143"/>
      <c r="BM153" s="143"/>
      <c r="BN153" s="143"/>
      <c r="BO153" s="143"/>
      <c r="BP153" s="143"/>
    </row>
    <row r="154" spans="2:68">
      <c r="B154" s="143"/>
      <c r="C154" s="143"/>
      <c r="D154" s="143" t="s">
        <v>93</v>
      </c>
      <c r="E154" s="312">
        <f>-609643--526026</f>
        <v>-83617</v>
      </c>
      <c r="F154" s="312">
        <v>-87101</v>
      </c>
      <c r="G154" s="312">
        <f>-167204--87101</f>
        <v>-80103</v>
      </c>
      <c r="H154" s="312">
        <f>-254970--167204</f>
        <v>-87766</v>
      </c>
      <c r="I154" s="313">
        <f t="shared" si="585"/>
        <v>-338587</v>
      </c>
      <c r="J154" s="312">
        <f>-347413--254970</f>
        <v>-92443</v>
      </c>
      <c r="K154" s="312">
        <v>-138348</v>
      </c>
      <c r="L154" s="351">
        <f>-296401-K154-J154</f>
        <v>-65610</v>
      </c>
      <c r="M154" s="351">
        <f>-418561-L154-K154-J154</f>
        <v>-122160</v>
      </c>
      <c r="N154" s="313">
        <f t="shared" ref="N154:N169" si="617">SUM(J154:M154)</f>
        <v>-418561</v>
      </c>
      <c r="O154" s="351">
        <f>-510634-N154</f>
        <v>-92073</v>
      </c>
      <c r="P154" s="312">
        <v>-159103</v>
      </c>
      <c r="Q154" s="351">
        <f>-305936-P154</f>
        <v>-146833</v>
      </c>
      <c r="R154" s="351">
        <f>-413596-Q154-P154-O154</f>
        <v>-15587</v>
      </c>
      <c r="S154" s="313">
        <f>SUM(O154:R154)</f>
        <v>-413596</v>
      </c>
      <c r="T154" s="351">
        <f>-525111-S154</f>
        <v>-111515</v>
      </c>
      <c r="U154" s="312">
        <v>-124851</v>
      </c>
      <c r="V154" s="351">
        <f>-264030-U154</f>
        <v>-139179</v>
      </c>
      <c r="W154" s="331">
        <f>-1*W138*W5</f>
        <v>-105804.43324387376</v>
      </c>
      <c r="X154" s="331">
        <f t="shared" si="591"/>
        <v>-481349.43324387376</v>
      </c>
      <c r="Y154" s="331">
        <f>-1*Y138*Y5</f>
        <v>-103373.79716171532</v>
      </c>
      <c r="Z154" s="331">
        <f>-1*Z138*Z5</f>
        <v>-153799.67174651008</v>
      </c>
      <c r="AA154" s="331">
        <f>-1*AA138*AA5</f>
        <v>-126948.38615055973</v>
      </c>
      <c r="AB154" s="331">
        <f>-1*AB138*AB5</f>
        <v>-85688.132522315893</v>
      </c>
      <c r="AC154" s="331">
        <f t="shared" ref="AC154" si="618">SUM(Y154:AB154)</f>
        <v>-469809.98758110107</v>
      </c>
      <c r="AD154" s="331">
        <f>-1*AD138*AD5</f>
        <v>-111457.50157794445</v>
      </c>
      <c r="AE154" s="331">
        <f>-1*AE138*AE5</f>
        <v>-161624.65794496008</v>
      </c>
      <c r="AF154" s="331">
        <f>-1*AF138*AF5</f>
        <v>-156204.22651598151</v>
      </c>
      <c r="AG154" s="331">
        <f>-1*AG138*AG5</f>
        <v>-77205.397732613696</v>
      </c>
      <c r="AH154" s="331">
        <f t="shared" ref="AH154" si="619">SUM(AD154:AG154)</f>
        <v>-506491.78377149976</v>
      </c>
      <c r="AI154" s="331">
        <f>-1*AI138*AI5</f>
        <v>-120293.81677944034</v>
      </c>
      <c r="AJ154" s="331">
        <f>-1*AJ138*AJ5</f>
        <v>-164253.10689158938</v>
      </c>
      <c r="AK154" s="331">
        <f>-1*AK138*AK5</f>
        <v>-160619.0974259277</v>
      </c>
      <c r="AL154" s="331">
        <f>-1*AL138*AL5</f>
        <v>-103465.53297095619</v>
      </c>
      <c r="AM154" s="331">
        <f t="shared" ref="AM154" si="620">SUM(AI154:AL154)</f>
        <v>-548631.55406791368</v>
      </c>
      <c r="AN154" s="331">
        <f>-1*AN138*AN5</f>
        <v>-123442.27463037318</v>
      </c>
      <c r="AO154" s="331">
        <f>-1*AO138*AO5</f>
        <v>-179817.37274441047</v>
      </c>
      <c r="AP154" s="331">
        <f>-1*AP138*AP5</f>
        <v>-168547.27354031225</v>
      </c>
      <c r="AQ154" s="331">
        <f>-1*AQ138*AQ5</f>
        <v>-101491.1928192749</v>
      </c>
      <c r="AR154" s="331">
        <f t="shared" ref="AR154" si="621">SUM(AN154:AQ154)</f>
        <v>-573298.1137343708</v>
      </c>
      <c r="AS154" s="331">
        <f>-1*AS138*AS5</f>
        <v>-130794.90310629434</v>
      </c>
      <c r="AT154" s="331">
        <f>-1*AT138*AT5</f>
        <v>-189078.75848890486</v>
      </c>
      <c r="AU154" s="331">
        <f>-1*AU138*AU5</f>
        <v>-184590.04564838103</v>
      </c>
      <c r="AV154" s="331">
        <f>-1*AV138*AV5</f>
        <v>-107114.96209790235</v>
      </c>
      <c r="AW154" s="331">
        <f t="shared" ref="AW154" si="622">SUM(AS154:AV154)</f>
        <v>-611578.66934148257</v>
      </c>
      <c r="AX154" s="143"/>
      <c r="AY154" s="143"/>
      <c r="AZ154" s="143"/>
      <c r="BA154" s="143"/>
      <c r="BB154" s="143"/>
      <c r="BC154" s="143"/>
      <c r="BD154" s="143"/>
      <c r="BE154" s="143"/>
      <c r="BF154" s="143"/>
      <c r="BG154" s="143"/>
      <c r="BH154" s="143"/>
      <c r="BI154" s="143"/>
      <c r="BJ154" s="143"/>
      <c r="BK154" s="143"/>
      <c r="BL154" s="143"/>
      <c r="BM154" s="143"/>
      <c r="BN154" s="143"/>
      <c r="BO154" s="143"/>
      <c r="BP154" s="143"/>
    </row>
    <row r="155" spans="2:68">
      <c r="B155" s="143"/>
      <c r="C155" s="143"/>
      <c r="D155" s="143" t="s">
        <v>95</v>
      </c>
      <c r="E155" s="312">
        <f>94640-64873</f>
        <v>29767</v>
      </c>
      <c r="F155" s="312">
        <v>14184</v>
      </c>
      <c r="G155" s="312">
        <f>28809-14184</f>
        <v>14625</v>
      </c>
      <c r="H155" s="312">
        <f>90576-28809</f>
        <v>61767</v>
      </c>
      <c r="I155" s="313">
        <f t="shared" si="585"/>
        <v>120343</v>
      </c>
      <c r="J155" s="312">
        <f>107689-90576</f>
        <v>17113</v>
      </c>
      <c r="K155" s="312">
        <v>1512</v>
      </c>
      <c r="L155" s="351">
        <f>2383-K155-J155</f>
        <v>-16242</v>
      </c>
      <c r="M155" s="351">
        <f>4627-L155-K155-J155</f>
        <v>2244</v>
      </c>
      <c r="N155" s="313">
        <f t="shared" si="617"/>
        <v>4627</v>
      </c>
      <c r="O155" s="351">
        <f>13676-N155</f>
        <v>9049</v>
      </c>
      <c r="P155" s="312">
        <v>15722</v>
      </c>
      <c r="Q155" s="351">
        <f>26561-P155-O155</f>
        <v>1790</v>
      </c>
      <c r="R155" s="351">
        <f>28056-Q155-P155-O155</f>
        <v>1495</v>
      </c>
      <c r="S155" s="313">
        <f>SUM(O155:R155)</f>
        <v>28056</v>
      </c>
      <c r="T155" s="351">
        <f>35606-S155</f>
        <v>7550</v>
      </c>
      <c r="U155" s="312">
        <v>5476</v>
      </c>
      <c r="V155" s="351">
        <f>36123-U155</f>
        <v>30647</v>
      </c>
      <c r="W155" s="156" t="s">
        <v>74</v>
      </c>
      <c r="X155" s="156" t="s">
        <v>74</v>
      </c>
      <c r="Y155" s="156" t="s">
        <v>74</v>
      </c>
      <c r="Z155" s="156" t="s">
        <v>74</v>
      </c>
      <c r="AA155" s="156" t="s">
        <v>74</v>
      </c>
      <c r="AB155" s="156" t="s">
        <v>74</v>
      </c>
      <c r="AC155" s="156" t="s">
        <v>74</v>
      </c>
      <c r="AD155" s="156" t="s">
        <v>74</v>
      </c>
      <c r="AE155" s="156" t="s">
        <v>74</v>
      </c>
      <c r="AF155" s="156" t="s">
        <v>74</v>
      </c>
      <c r="AG155" s="156" t="s">
        <v>74</v>
      </c>
      <c r="AH155" s="156" t="s">
        <v>74</v>
      </c>
      <c r="AI155" s="156" t="s">
        <v>74</v>
      </c>
      <c r="AJ155" s="156" t="s">
        <v>74</v>
      </c>
      <c r="AK155" s="156" t="s">
        <v>74</v>
      </c>
      <c r="AL155" s="156" t="s">
        <v>74</v>
      </c>
      <c r="AM155" s="156" t="s">
        <v>74</v>
      </c>
      <c r="AN155" s="156" t="s">
        <v>74</v>
      </c>
      <c r="AO155" s="156" t="s">
        <v>74</v>
      </c>
      <c r="AP155" s="156" t="s">
        <v>74</v>
      </c>
      <c r="AQ155" s="156" t="s">
        <v>74</v>
      </c>
      <c r="AR155" s="156" t="s">
        <v>74</v>
      </c>
      <c r="AS155" s="156" t="s">
        <v>74</v>
      </c>
      <c r="AT155" s="156" t="s">
        <v>74</v>
      </c>
      <c r="AU155" s="156" t="s">
        <v>74</v>
      </c>
      <c r="AV155" s="156" t="s">
        <v>74</v>
      </c>
      <c r="AW155" s="156" t="s">
        <v>74</v>
      </c>
      <c r="AX155" s="143"/>
      <c r="AY155" s="143"/>
      <c r="AZ155" s="143"/>
      <c r="BA155" s="143"/>
      <c r="BB155" s="143"/>
      <c r="BC155" s="143"/>
      <c r="BD155" s="143"/>
      <c r="BE155" s="143"/>
      <c r="BF155" s="143"/>
      <c r="BG155" s="143"/>
      <c r="BH155" s="143"/>
      <c r="BI155" s="143"/>
      <c r="BJ155" s="143"/>
      <c r="BK155" s="143"/>
      <c r="BL155" s="143"/>
      <c r="BM155" s="143"/>
      <c r="BN155" s="143"/>
      <c r="BO155" s="143"/>
      <c r="BP155" s="143"/>
    </row>
    <row r="156" spans="2:68">
      <c r="B156" s="143"/>
      <c r="C156" s="143"/>
      <c r="D156" s="143" t="s">
        <v>94</v>
      </c>
      <c r="E156" s="312" t="s">
        <v>74</v>
      </c>
      <c r="F156" s="312" t="s">
        <v>74</v>
      </c>
      <c r="G156" s="312">
        <f>-32589</f>
        <v>-32589</v>
      </c>
      <c r="H156" s="312">
        <f>-52639--32589</f>
        <v>-20050</v>
      </c>
      <c r="I156" s="313">
        <f t="shared" si="585"/>
        <v>-52639</v>
      </c>
      <c r="J156" s="312">
        <f>-61361--52639</f>
        <v>-8722</v>
      </c>
      <c r="K156" s="312">
        <v>-18580</v>
      </c>
      <c r="L156" s="351">
        <f>-641913-K156-J156</f>
        <v>-614611</v>
      </c>
      <c r="M156" s="351">
        <f>-903845-L156-K156-J156</f>
        <v>-261932</v>
      </c>
      <c r="N156" s="313">
        <f t="shared" si="617"/>
        <v>-903845</v>
      </c>
      <c r="O156" s="351">
        <f>-916527-N156</f>
        <v>-12682</v>
      </c>
      <c r="P156" s="312">
        <v>-9492</v>
      </c>
      <c r="Q156" s="351">
        <f>-189895-P156-O156</f>
        <v>-167721</v>
      </c>
      <c r="R156" s="351">
        <f>-180259-Q156-P156-O156</f>
        <v>9636</v>
      </c>
      <c r="S156" s="313">
        <f>SUM(O156:R156)</f>
        <v>-180259</v>
      </c>
      <c r="T156" s="351">
        <f>-189084-S156</f>
        <v>-8825</v>
      </c>
      <c r="U156" s="312">
        <v>-213718</v>
      </c>
      <c r="V156" s="351">
        <f>-273167-U156</f>
        <v>-59449</v>
      </c>
      <c r="W156" s="156" t="s">
        <v>74</v>
      </c>
      <c r="X156" s="156" t="s">
        <v>74</v>
      </c>
      <c r="Y156" s="156" t="s">
        <v>74</v>
      </c>
      <c r="Z156" s="156" t="s">
        <v>74</v>
      </c>
      <c r="AA156" s="156" t="s">
        <v>74</v>
      </c>
      <c r="AB156" s="156" t="s">
        <v>74</v>
      </c>
      <c r="AC156" s="156" t="s">
        <v>74</v>
      </c>
      <c r="AD156" s="156" t="s">
        <v>74</v>
      </c>
      <c r="AE156" s="156" t="s">
        <v>74</v>
      </c>
      <c r="AF156" s="156" t="s">
        <v>74</v>
      </c>
      <c r="AG156" s="156" t="s">
        <v>74</v>
      </c>
      <c r="AH156" s="156" t="s">
        <v>74</v>
      </c>
      <c r="AI156" s="156" t="s">
        <v>74</v>
      </c>
      <c r="AJ156" s="156" t="s">
        <v>74</v>
      </c>
      <c r="AK156" s="156" t="s">
        <v>74</v>
      </c>
      <c r="AL156" s="156" t="s">
        <v>74</v>
      </c>
      <c r="AM156" s="156" t="s">
        <v>74</v>
      </c>
      <c r="AN156" s="156" t="s">
        <v>74</v>
      </c>
      <c r="AO156" s="156" t="s">
        <v>74</v>
      </c>
      <c r="AP156" s="156" t="s">
        <v>74</v>
      </c>
      <c r="AQ156" s="156" t="s">
        <v>74</v>
      </c>
      <c r="AR156" s="156" t="s">
        <v>74</v>
      </c>
      <c r="AS156" s="156" t="s">
        <v>74</v>
      </c>
      <c r="AT156" s="156" t="s">
        <v>74</v>
      </c>
      <c r="AU156" s="156" t="s">
        <v>74</v>
      </c>
      <c r="AV156" s="156" t="s">
        <v>74</v>
      </c>
      <c r="AW156" s="156" t="s">
        <v>74</v>
      </c>
      <c r="AX156" s="143"/>
      <c r="AY156" s="143"/>
      <c r="AZ156" s="143"/>
      <c r="BA156" s="143"/>
      <c r="BB156" s="143"/>
      <c r="BC156" s="143"/>
      <c r="BD156" s="143"/>
      <c r="BE156" s="143"/>
      <c r="BF156" s="143"/>
      <c r="BG156" s="143"/>
      <c r="BH156" s="143"/>
      <c r="BI156" s="143"/>
      <c r="BJ156" s="143"/>
      <c r="BK156" s="143"/>
      <c r="BL156" s="143"/>
      <c r="BM156" s="143"/>
      <c r="BN156" s="143"/>
      <c r="BO156" s="143"/>
      <c r="BP156" s="143"/>
    </row>
    <row r="157" spans="2:68">
      <c r="B157" s="143"/>
      <c r="C157" s="143"/>
      <c r="D157" s="143" t="s">
        <v>96</v>
      </c>
      <c r="E157" s="312" t="s">
        <v>74</v>
      </c>
      <c r="F157" s="312">
        <v>-5493</v>
      </c>
      <c r="G157" s="312" t="s">
        <v>74</v>
      </c>
      <c r="H157" s="312" t="s">
        <v>74</v>
      </c>
      <c r="I157" s="313">
        <f t="shared" si="585"/>
        <v>-5493</v>
      </c>
      <c r="J157" s="312" t="s">
        <v>74</v>
      </c>
      <c r="K157" s="312">
        <v>1000</v>
      </c>
      <c r="L157" s="312">
        <v>-1000</v>
      </c>
      <c r="M157" s="351">
        <f>3603-L157-K157</f>
        <v>3603</v>
      </c>
      <c r="N157" s="313">
        <f t="shared" si="617"/>
        <v>3603</v>
      </c>
      <c r="O157" s="351">
        <f>5740-N157</f>
        <v>2137</v>
      </c>
      <c r="P157" s="312">
        <v>14828</v>
      </c>
      <c r="Q157" s="351">
        <f>36073-P157-O157</f>
        <v>19108</v>
      </c>
      <c r="R157" s="351" t="s">
        <v>74</v>
      </c>
      <c r="S157" s="313">
        <f t="shared" ref="S157" si="623">SUM(O157:R157)</f>
        <v>36073</v>
      </c>
      <c r="T157" s="351">
        <f>36731-S157</f>
        <v>658</v>
      </c>
      <c r="U157" s="312">
        <v>-616</v>
      </c>
      <c r="V157" s="351">
        <f>-2949-U157</f>
        <v>-2333</v>
      </c>
      <c r="W157" s="156" t="s">
        <v>74</v>
      </c>
      <c r="X157" s="156" t="s">
        <v>74</v>
      </c>
      <c r="Y157" s="156" t="s">
        <v>74</v>
      </c>
      <c r="Z157" s="156" t="s">
        <v>74</v>
      </c>
      <c r="AA157" s="156" t="s">
        <v>74</v>
      </c>
      <c r="AB157" s="156" t="s">
        <v>74</v>
      </c>
      <c r="AC157" s="156" t="s">
        <v>74</v>
      </c>
      <c r="AD157" s="156" t="s">
        <v>74</v>
      </c>
      <c r="AE157" s="156" t="s">
        <v>74</v>
      </c>
      <c r="AF157" s="156" t="s">
        <v>74</v>
      </c>
      <c r="AG157" s="156" t="s">
        <v>74</v>
      </c>
      <c r="AH157" s="156" t="s">
        <v>74</v>
      </c>
      <c r="AI157" s="156" t="s">
        <v>74</v>
      </c>
      <c r="AJ157" s="156" t="s">
        <v>74</v>
      </c>
      <c r="AK157" s="156" t="s">
        <v>74</v>
      </c>
      <c r="AL157" s="156" t="s">
        <v>74</v>
      </c>
      <c r="AM157" s="156" t="s">
        <v>74</v>
      </c>
      <c r="AN157" s="156" t="s">
        <v>74</v>
      </c>
      <c r="AO157" s="156" t="s">
        <v>74</v>
      </c>
      <c r="AP157" s="156" t="s">
        <v>74</v>
      </c>
      <c r="AQ157" s="156" t="s">
        <v>74</v>
      </c>
      <c r="AR157" s="156" t="s">
        <v>74</v>
      </c>
      <c r="AS157" s="156" t="s">
        <v>74</v>
      </c>
      <c r="AT157" s="156" t="s">
        <v>74</v>
      </c>
      <c r="AU157" s="156" t="s">
        <v>74</v>
      </c>
      <c r="AV157" s="156" t="s">
        <v>74</v>
      </c>
      <c r="AW157" s="156" t="s">
        <v>74</v>
      </c>
      <c r="AX157" s="143"/>
      <c r="AY157" s="143"/>
      <c r="AZ157" s="143"/>
      <c r="BA157" s="143"/>
      <c r="BB157" s="143"/>
      <c r="BC157" s="143"/>
      <c r="BD157" s="143"/>
      <c r="BE157" s="143"/>
      <c r="BF157" s="143"/>
      <c r="BG157" s="143"/>
      <c r="BH157" s="143"/>
      <c r="BI157" s="143"/>
      <c r="BJ157" s="143"/>
      <c r="BK157" s="143"/>
      <c r="BL157" s="143"/>
      <c r="BM157" s="143"/>
      <c r="BN157" s="143"/>
      <c r="BO157" s="143"/>
      <c r="BP157" s="143"/>
    </row>
    <row r="158" spans="2:68">
      <c r="B158" s="143"/>
      <c r="C158" s="143"/>
      <c r="D158" s="143" t="s">
        <v>106</v>
      </c>
      <c r="E158" s="312">
        <f>-35497--12067</f>
        <v>-23430</v>
      </c>
      <c r="F158" s="312">
        <v>-21462</v>
      </c>
      <c r="G158" s="312">
        <f>-28855--21462</f>
        <v>-7393</v>
      </c>
      <c r="H158" s="312">
        <f>-11517--28855</f>
        <v>17338</v>
      </c>
      <c r="I158" s="313">
        <f t="shared" si="585"/>
        <v>-34947</v>
      </c>
      <c r="J158" s="312">
        <f>64362--11517</f>
        <v>75879</v>
      </c>
      <c r="K158" s="312">
        <v>-7580</v>
      </c>
      <c r="L158" s="351">
        <f>-10516-K158-J158</f>
        <v>-78815</v>
      </c>
      <c r="M158" s="351">
        <f>1397-L158-K158-J158</f>
        <v>11913</v>
      </c>
      <c r="N158" s="313">
        <f t="shared" si="617"/>
        <v>1397</v>
      </c>
      <c r="O158" s="351">
        <f>11369-N158</f>
        <v>9972</v>
      </c>
      <c r="P158" s="312">
        <v>26261</v>
      </c>
      <c r="Q158" s="351">
        <f>20357-P158-O158</f>
        <v>-15876</v>
      </c>
      <c r="R158" s="351">
        <f>-49704-Q158-P158-O158</f>
        <v>-70061</v>
      </c>
      <c r="S158" s="313">
        <f>SUM(O158:R158)</f>
        <v>-49704</v>
      </c>
      <c r="T158" s="351">
        <f>-60329-S158</f>
        <v>-10625</v>
      </c>
      <c r="U158" s="312">
        <v>-18549</v>
      </c>
      <c r="V158" s="351">
        <f>-114063-U158</f>
        <v>-95514</v>
      </c>
      <c r="W158" s="156" t="s">
        <v>74</v>
      </c>
      <c r="X158" s="156" t="s">
        <v>74</v>
      </c>
      <c r="Y158" s="156" t="s">
        <v>74</v>
      </c>
      <c r="Z158" s="156" t="s">
        <v>74</v>
      </c>
      <c r="AA158" s="156" t="s">
        <v>74</v>
      </c>
      <c r="AB158" s="156" t="s">
        <v>74</v>
      </c>
      <c r="AC158" s="156" t="s">
        <v>74</v>
      </c>
      <c r="AD158" s="156" t="s">
        <v>74</v>
      </c>
      <c r="AE158" s="156" t="s">
        <v>74</v>
      </c>
      <c r="AF158" s="156" t="s">
        <v>74</v>
      </c>
      <c r="AG158" s="156" t="s">
        <v>74</v>
      </c>
      <c r="AH158" s="156" t="s">
        <v>74</v>
      </c>
      <c r="AI158" s="156" t="s">
        <v>74</v>
      </c>
      <c r="AJ158" s="156" t="s">
        <v>74</v>
      </c>
      <c r="AK158" s="156" t="s">
        <v>74</v>
      </c>
      <c r="AL158" s="156" t="s">
        <v>74</v>
      </c>
      <c r="AM158" s="156" t="s">
        <v>74</v>
      </c>
      <c r="AN158" s="156" t="s">
        <v>74</v>
      </c>
      <c r="AO158" s="156" t="s">
        <v>74</v>
      </c>
      <c r="AP158" s="156" t="s">
        <v>74</v>
      </c>
      <c r="AQ158" s="156" t="s">
        <v>74</v>
      </c>
      <c r="AR158" s="156" t="s">
        <v>74</v>
      </c>
      <c r="AS158" s="156" t="s">
        <v>74</v>
      </c>
      <c r="AT158" s="156" t="s">
        <v>74</v>
      </c>
      <c r="AU158" s="156" t="s">
        <v>74</v>
      </c>
      <c r="AV158" s="156" t="s">
        <v>74</v>
      </c>
      <c r="AW158" s="156" t="s">
        <v>74</v>
      </c>
      <c r="AX158" s="143"/>
      <c r="AY158" s="143"/>
      <c r="AZ158" s="143"/>
      <c r="BA158" s="143"/>
      <c r="BB158" s="143"/>
      <c r="BC158" s="143"/>
      <c r="BD158" s="143"/>
      <c r="BE158" s="143"/>
      <c r="BF158" s="143"/>
      <c r="BG158" s="143"/>
      <c r="BH158" s="143"/>
      <c r="BI158" s="143"/>
      <c r="BJ158" s="143"/>
      <c r="BK158" s="143"/>
      <c r="BL158" s="143"/>
      <c r="BM158" s="143"/>
      <c r="BN158" s="143"/>
      <c r="BO158" s="143"/>
      <c r="BP158" s="143"/>
    </row>
    <row r="159" spans="2:68" s="71" customFormat="1">
      <c r="B159" s="146"/>
      <c r="C159" s="146"/>
      <c r="D159" s="153" t="s">
        <v>97</v>
      </c>
      <c r="E159" s="311">
        <f>SUM(E154:E158)</f>
        <v>-77280</v>
      </c>
      <c r="F159" s="311">
        <f>SUM(F154:F158)</f>
        <v>-99872</v>
      </c>
      <c r="G159" s="311">
        <f>SUM(G154:G158)</f>
        <v>-105460</v>
      </c>
      <c r="H159" s="311">
        <f>SUM(H154:H158)</f>
        <v>-28711</v>
      </c>
      <c r="I159" s="318">
        <f t="shared" si="585"/>
        <v>-311323</v>
      </c>
      <c r="J159" s="311">
        <f>SUM(J154:J158)</f>
        <v>-8173</v>
      </c>
      <c r="K159" s="311">
        <f>SUM(K154:K158)</f>
        <v>-161996</v>
      </c>
      <c r="L159" s="311">
        <f>SUM(L154:L158)</f>
        <v>-776278</v>
      </c>
      <c r="M159" s="311">
        <f>-1312779-L159-K159-J159</f>
        <v>-366332</v>
      </c>
      <c r="N159" s="318">
        <f t="shared" si="617"/>
        <v>-1312779</v>
      </c>
      <c r="O159" s="311">
        <f>SUM(O154:O158)</f>
        <v>-83597</v>
      </c>
      <c r="P159" s="311">
        <f>SUM(P154:P158)</f>
        <v>-111784</v>
      </c>
      <c r="Q159" s="311">
        <f t="shared" ref="Q159:V159" si="624">SUM(Q154:Q158)</f>
        <v>-309532</v>
      </c>
      <c r="R159" s="311">
        <f t="shared" si="624"/>
        <v>-74517</v>
      </c>
      <c r="S159" s="318">
        <f t="shared" si="624"/>
        <v>-579430</v>
      </c>
      <c r="T159" s="311">
        <f t="shared" si="624"/>
        <v>-122757</v>
      </c>
      <c r="U159" s="311">
        <f t="shared" si="624"/>
        <v>-352258</v>
      </c>
      <c r="V159" s="311">
        <f t="shared" si="624"/>
        <v>-265828</v>
      </c>
      <c r="W159" s="330">
        <f>SUM(W154:W158)</f>
        <v>-105804.43324387376</v>
      </c>
      <c r="X159" s="330">
        <f t="shared" ref="X159" si="625">SUM(T159:W159)</f>
        <v>-846647.43324387376</v>
      </c>
      <c r="Y159" s="330">
        <f>SUM(Y154:Y158)</f>
        <v>-103373.79716171532</v>
      </c>
      <c r="Z159" s="330">
        <f t="shared" ref="Z159:AB159" si="626">SUM(Z154:Z158)</f>
        <v>-153799.67174651008</v>
      </c>
      <c r="AA159" s="330">
        <f t="shared" si="626"/>
        <v>-126948.38615055973</v>
      </c>
      <c r="AB159" s="330">
        <f t="shared" si="626"/>
        <v>-85688.132522315893</v>
      </c>
      <c r="AC159" s="330">
        <f t="shared" ref="AC159" si="627">SUM(Y159:AB159)</f>
        <v>-469809.98758110107</v>
      </c>
      <c r="AD159" s="330">
        <f>SUM(AD154:AD158)</f>
        <v>-111457.50157794445</v>
      </c>
      <c r="AE159" s="330">
        <f t="shared" ref="AE159" si="628">SUM(AE154:AE158)</f>
        <v>-161624.65794496008</v>
      </c>
      <c r="AF159" s="330">
        <f t="shared" ref="AF159" si="629">SUM(AF154:AF158)</f>
        <v>-156204.22651598151</v>
      </c>
      <c r="AG159" s="330">
        <f t="shared" ref="AG159" si="630">SUM(AG154:AG158)</f>
        <v>-77205.397732613696</v>
      </c>
      <c r="AH159" s="330">
        <f t="shared" ref="AH159" si="631">SUM(AD159:AG159)</f>
        <v>-506491.78377149976</v>
      </c>
      <c r="AI159" s="330">
        <f>SUM(AI154:AI158)</f>
        <v>-120293.81677944034</v>
      </c>
      <c r="AJ159" s="330">
        <f t="shared" ref="AJ159" si="632">SUM(AJ154:AJ158)</f>
        <v>-164253.10689158938</v>
      </c>
      <c r="AK159" s="330">
        <f t="shared" ref="AK159" si="633">SUM(AK154:AK158)</f>
        <v>-160619.0974259277</v>
      </c>
      <c r="AL159" s="330">
        <f t="shared" ref="AL159" si="634">SUM(AL154:AL158)</f>
        <v>-103465.53297095619</v>
      </c>
      <c r="AM159" s="330">
        <f t="shared" ref="AM159" si="635">SUM(AI159:AL159)</f>
        <v>-548631.55406791368</v>
      </c>
      <c r="AN159" s="330">
        <f>SUM(AN154:AN158)</f>
        <v>-123442.27463037318</v>
      </c>
      <c r="AO159" s="330">
        <f t="shared" ref="AO159" si="636">SUM(AO154:AO158)</f>
        <v>-179817.37274441047</v>
      </c>
      <c r="AP159" s="330">
        <f t="shared" ref="AP159" si="637">SUM(AP154:AP158)</f>
        <v>-168547.27354031225</v>
      </c>
      <c r="AQ159" s="330">
        <f t="shared" ref="AQ159" si="638">SUM(AQ154:AQ158)</f>
        <v>-101491.1928192749</v>
      </c>
      <c r="AR159" s="330">
        <f t="shared" ref="AR159" si="639">SUM(AN159:AQ159)</f>
        <v>-573298.1137343708</v>
      </c>
      <c r="AS159" s="330">
        <f>SUM(AS154:AS158)</f>
        <v>-130794.90310629434</v>
      </c>
      <c r="AT159" s="330">
        <f t="shared" ref="AT159" si="640">SUM(AT154:AT158)</f>
        <v>-189078.75848890486</v>
      </c>
      <c r="AU159" s="330">
        <f t="shared" ref="AU159" si="641">SUM(AU154:AU158)</f>
        <v>-184590.04564838103</v>
      </c>
      <c r="AV159" s="330">
        <f t="shared" ref="AV159" si="642">SUM(AV154:AV158)</f>
        <v>-107114.96209790235</v>
      </c>
      <c r="AW159" s="330">
        <f t="shared" ref="AW159" si="643">SUM(AS159:AV159)</f>
        <v>-611578.66934148257</v>
      </c>
      <c r="AX159" s="146"/>
      <c r="AY159" s="146"/>
      <c r="AZ159" s="146"/>
      <c r="BA159" s="146"/>
      <c r="BB159" s="146"/>
      <c r="BC159" s="146"/>
      <c r="BD159" s="146"/>
      <c r="BE159" s="146"/>
      <c r="BF159" s="146"/>
      <c r="BG159" s="146"/>
      <c r="BH159" s="146"/>
      <c r="BI159" s="146"/>
      <c r="BJ159" s="146"/>
      <c r="BK159" s="146"/>
      <c r="BL159" s="146"/>
      <c r="BM159" s="146"/>
      <c r="BN159" s="146"/>
      <c r="BO159" s="146"/>
      <c r="BP159" s="146"/>
    </row>
    <row r="160" spans="2:68">
      <c r="B160" s="143"/>
      <c r="C160" s="143"/>
      <c r="D160" s="143"/>
      <c r="E160" s="151"/>
      <c r="F160" s="151"/>
      <c r="G160" s="151"/>
      <c r="H160" s="151"/>
      <c r="I160" s="148"/>
      <c r="J160" s="151"/>
      <c r="K160" s="151"/>
      <c r="L160" s="151"/>
      <c r="M160" s="323"/>
      <c r="N160" s="148"/>
      <c r="O160" s="323"/>
      <c r="P160" s="323"/>
      <c r="Q160" s="323"/>
      <c r="R160" s="323"/>
      <c r="S160" s="148"/>
      <c r="T160" s="151"/>
      <c r="U160" s="151"/>
      <c r="V160" s="151"/>
      <c r="W160" s="156"/>
      <c r="X160" s="156"/>
      <c r="Y160" s="156"/>
      <c r="Z160" s="156"/>
      <c r="AA160" s="156"/>
      <c r="AB160" s="156"/>
      <c r="AC160" s="156"/>
      <c r="AD160" s="156"/>
      <c r="AE160" s="156"/>
      <c r="AF160" s="156"/>
      <c r="AG160" s="156"/>
      <c r="AH160" s="156"/>
      <c r="AI160" s="156"/>
      <c r="AJ160" s="156"/>
      <c r="AK160" s="156"/>
      <c r="AL160" s="156"/>
      <c r="AM160" s="156"/>
      <c r="AN160" s="156"/>
      <c r="AO160" s="156"/>
      <c r="AP160" s="156"/>
      <c r="AQ160" s="156"/>
      <c r="AR160" s="156"/>
      <c r="AS160" s="156"/>
      <c r="AT160" s="156"/>
      <c r="AU160" s="156"/>
      <c r="AV160" s="156"/>
      <c r="AW160" s="156"/>
      <c r="AX160" s="143"/>
      <c r="AY160" s="143"/>
      <c r="AZ160" s="143"/>
      <c r="BA160" s="143"/>
      <c r="BB160" s="143"/>
      <c r="BC160" s="143"/>
      <c r="BD160" s="143"/>
      <c r="BE160" s="143"/>
      <c r="BF160" s="143"/>
      <c r="BG160" s="143"/>
      <c r="BH160" s="143"/>
      <c r="BI160" s="143"/>
      <c r="BJ160" s="143"/>
      <c r="BK160" s="143"/>
      <c r="BL160" s="143"/>
      <c r="BM160" s="143"/>
      <c r="BN160" s="143"/>
      <c r="BO160" s="143"/>
      <c r="BP160" s="143"/>
    </row>
    <row r="161" spans="2:68">
      <c r="B161" s="143"/>
      <c r="C161" s="143"/>
      <c r="D161" s="143" t="s">
        <v>98</v>
      </c>
      <c r="E161" s="312">
        <f>1066653-1003294</f>
        <v>63359</v>
      </c>
      <c r="F161" s="312">
        <v>26615</v>
      </c>
      <c r="G161" s="312">
        <f>11387-26615</f>
        <v>-15228</v>
      </c>
      <c r="H161" s="312">
        <f>234523-11387</f>
        <v>223136</v>
      </c>
      <c r="I161" s="313">
        <f t="shared" si="585"/>
        <v>297882</v>
      </c>
      <c r="J161" s="312">
        <f>319542-234523</f>
        <v>85019</v>
      </c>
      <c r="K161" s="312">
        <v>595548</v>
      </c>
      <c r="L161" s="351">
        <f>595553-K161-J161</f>
        <v>-85014</v>
      </c>
      <c r="M161" s="351">
        <f>755684-L161-J161-K161</f>
        <v>160131</v>
      </c>
      <c r="N161" s="313">
        <f t="shared" si="617"/>
        <v>755684</v>
      </c>
      <c r="O161" s="351">
        <f>884702-N161</f>
        <v>129018</v>
      </c>
      <c r="P161" s="312">
        <v>75018</v>
      </c>
      <c r="Q161" s="351">
        <f>75035-P161</f>
        <v>17</v>
      </c>
      <c r="R161" s="351">
        <f>205518-Q161-P161-O161</f>
        <v>1465</v>
      </c>
      <c r="S161" s="313">
        <f>SUM(O161:R161)</f>
        <v>205518</v>
      </c>
      <c r="T161" s="351">
        <f>312741-S161</f>
        <v>107223</v>
      </c>
      <c r="U161" s="151" t="s">
        <v>74</v>
      </c>
      <c r="V161" s="151" t="s">
        <v>74</v>
      </c>
      <c r="W161" s="156" t="s">
        <v>74</v>
      </c>
      <c r="X161" s="156" t="s">
        <v>74</v>
      </c>
      <c r="Y161" s="156" t="s">
        <v>74</v>
      </c>
      <c r="Z161" s="156" t="s">
        <v>74</v>
      </c>
      <c r="AA161" s="156" t="s">
        <v>74</v>
      </c>
      <c r="AB161" s="156" t="s">
        <v>74</v>
      </c>
      <c r="AC161" s="156" t="s">
        <v>74</v>
      </c>
      <c r="AD161" s="156" t="s">
        <v>74</v>
      </c>
      <c r="AE161" s="156" t="s">
        <v>74</v>
      </c>
      <c r="AF161" s="156" t="s">
        <v>74</v>
      </c>
      <c r="AG161" s="156" t="s">
        <v>74</v>
      </c>
      <c r="AH161" s="156" t="s">
        <v>74</v>
      </c>
      <c r="AI161" s="156" t="s">
        <v>74</v>
      </c>
      <c r="AJ161" s="156" t="s">
        <v>74</v>
      </c>
      <c r="AK161" s="156" t="s">
        <v>74</v>
      </c>
      <c r="AL161" s="156" t="s">
        <v>74</v>
      </c>
      <c r="AM161" s="156" t="s">
        <v>74</v>
      </c>
      <c r="AN161" s="156" t="s">
        <v>74</v>
      </c>
      <c r="AO161" s="156" t="s">
        <v>74</v>
      </c>
      <c r="AP161" s="156" t="s">
        <v>74</v>
      </c>
      <c r="AQ161" s="156" t="s">
        <v>74</v>
      </c>
      <c r="AR161" s="156" t="s">
        <v>74</v>
      </c>
      <c r="AS161" s="156" t="s">
        <v>74</v>
      </c>
      <c r="AT161" s="156" t="s">
        <v>74</v>
      </c>
      <c r="AU161" s="156" t="s">
        <v>74</v>
      </c>
      <c r="AV161" s="156" t="s">
        <v>74</v>
      </c>
      <c r="AW161" s="156" t="s">
        <v>74</v>
      </c>
      <c r="AX161" s="143"/>
      <c r="AY161" s="143"/>
      <c r="AZ161" s="143"/>
      <c r="BA161" s="143"/>
      <c r="BB161" s="143"/>
      <c r="BC161" s="143"/>
      <c r="BD161" s="143"/>
      <c r="BE161" s="143"/>
      <c r="BF161" s="143"/>
      <c r="BG161" s="143"/>
      <c r="BH161" s="143"/>
      <c r="BI161" s="143"/>
      <c r="BJ161" s="143"/>
      <c r="BK161" s="143"/>
      <c r="BL161" s="143"/>
      <c r="BM161" s="143"/>
      <c r="BN161" s="143"/>
      <c r="BO161" s="143"/>
      <c r="BP161" s="143"/>
    </row>
    <row r="162" spans="2:68">
      <c r="B162" s="143"/>
      <c r="C162" s="143"/>
      <c r="D162" s="143" t="s">
        <v>99</v>
      </c>
      <c r="E162" s="312">
        <f>-537580--518549</f>
        <v>-19031</v>
      </c>
      <c r="F162" s="312">
        <v>-859</v>
      </c>
      <c r="G162" s="312">
        <f>-9185--859</f>
        <v>-8326</v>
      </c>
      <c r="H162" s="312">
        <f>-251337--9185</f>
        <v>-242152</v>
      </c>
      <c r="I162" s="313">
        <f t="shared" si="585"/>
        <v>-270368</v>
      </c>
      <c r="J162" s="312">
        <f>-344156--251337</f>
        <v>-92819</v>
      </c>
      <c r="K162" s="312">
        <v>-8457</v>
      </c>
      <c r="L162" s="351">
        <f>-21090-K162-J162</f>
        <v>80186</v>
      </c>
      <c r="M162" s="351">
        <f>-40706-L162-K162-J162</f>
        <v>-19616</v>
      </c>
      <c r="N162" s="313">
        <f t="shared" si="617"/>
        <v>-40706</v>
      </c>
      <c r="O162" s="351">
        <f>-190221-N162</f>
        <v>-149515</v>
      </c>
      <c r="P162" s="312">
        <v>-92222</v>
      </c>
      <c r="Q162" s="351">
        <f>-110592-P162</f>
        <v>-18370</v>
      </c>
      <c r="R162" s="351">
        <f>-115089-Q162-P162-O162</f>
        <v>145018</v>
      </c>
      <c r="S162" s="313">
        <f>SUM(O162:R162)</f>
        <v>-115089</v>
      </c>
      <c r="T162" s="351">
        <f>-141730-S162</f>
        <v>-26641</v>
      </c>
      <c r="U162" s="312">
        <v>-7554</v>
      </c>
      <c r="V162" s="351">
        <f>-26483-U162</f>
        <v>-18929</v>
      </c>
      <c r="W162" s="156" t="s">
        <v>74</v>
      </c>
      <c r="X162" s="156" t="s">
        <v>74</v>
      </c>
      <c r="Y162" s="156" t="s">
        <v>74</v>
      </c>
      <c r="Z162" s="156" t="s">
        <v>74</v>
      </c>
      <c r="AA162" s="156" t="s">
        <v>74</v>
      </c>
      <c r="AB162" s="156" t="s">
        <v>74</v>
      </c>
      <c r="AC162" s="156" t="s">
        <v>74</v>
      </c>
      <c r="AD162" s="156" t="s">
        <v>74</v>
      </c>
      <c r="AE162" s="156" t="s">
        <v>74</v>
      </c>
      <c r="AF162" s="156" t="s">
        <v>74</v>
      </c>
      <c r="AG162" s="156" t="s">
        <v>74</v>
      </c>
      <c r="AH162" s="156" t="s">
        <v>74</v>
      </c>
      <c r="AI162" s="156" t="s">
        <v>74</v>
      </c>
      <c r="AJ162" s="156" t="s">
        <v>74</v>
      </c>
      <c r="AK162" s="156" t="s">
        <v>74</v>
      </c>
      <c r="AL162" s="156" t="s">
        <v>74</v>
      </c>
      <c r="AM162" s="156" t="s">
        <v>74</v>
      </c>
      <c r="AN162" s="156" t="s">
        <v>74</v>
      </c>
      <c r="AO162" s="156" t="s">
        <v>74</v>
      </c>
      <c r="AP162" s="156" t="s">
        <v>74</v>
      </c>
      <c r="AQ162" s="156" t="s">
        <v>74</v>
      </c>
      <c r="AR162" s="156" t="s">
        <v>74</v>
      </c>
      <c r="AS162" s="156" t="s">
        <v>74</v>
      </c>
      <c r="AT162" s="156" t="s">
        <v>74</v>
      </c>
      <c r="AU162" s="156" t="s">
        <v>74</v>
      </c>
      <c r="AV162" s="156" t="s">
        <v>74</v>
      </c>
      <c r="AW162" s="156" t="s">
        <v>74</v>
      </c>
      <c r="AX162" s="143"/>
      <c r="AY162" s="143"/>
      <c r="AZ162" s="143"/>
      <c r="BA162" s="143"/>
      <c r="BB162" s="143"/>
      <c r="BC162" s="143"/>
      <c r="BD162" s="143"/>
      <c r="BE162" s="143"/>
      <c r="BF162" s="143"/>
      <c r="BG162" s="143"/>
      <c r="BH162" s="143"/>
      <c r="BI162" s="143"/>
      <c r="BJ162" s="143"/>
      <c r="BK162" s="143"/>
      <c r="BL162" s="143"/>
      <c r="BM162" s="143"/>
      <c r="BN162" s="143"/>
      <c r="BO162" s="143"/>
      <c r="BP162" s="143"/>
    </row>
    <row r="163" spans="2:68">
      <c r="B163" s="143"/>
      <c r="C163" s="143"/>
      <c r="D163" s="143" t="s">
        <v>100</v>
      </c>
      <c r="E163" s="312">
        <f>-475314--362693</f>
        <v>-112621</v>
      </c>
      <c r="F163" s="312">
        <v>-105568</v>
      </c>
      <c r="G163" s="312">
        <f>-206771-F163</f>
        <v>-101203</v>
      </c>
      <c r="H163" s="312">
        <f>-290752--206771</f>
        <v>-83981</v>
      </c>
      <c r="I163" s="313">
        <f t="shared" si="585"/>
        <v>-403373</v>
      </c>
      <c r="J163" s="312">
        <f>-415945--290752</f>
        <v>-125193</v>
      </c>
      <c r="K163" s="312">
        <v>-99995</v>
      </c>
      <c r="L163" s="351">
        <f>-241978-K163-J163</f>
        <v>-16790</v>
      </c>
      <c r="M163" s="351">
        <f>-331690-L163-K163-J163</f>
        <v>-89712</v>
      </c>
      <c r="N163" s="313">
        <f t="shared" si="617"/>
        <v>-331690</v>
      </c>
      <c r="O163" s="351">
        <f>-420317-N163</f>
        <v>-88627</v>
      </c>
      <c r="P163" s="312">
        <v>-94715</v>
      </c>
      <c r="Q163" s="351">
        <f>-184698-P163</f>
        <v>-89983</v>
      </c>
      <c r="R163" s="351">
        <f>-259658-Q163-P163-O163</f>
        <v>13667</v>
      </c>
      <c r="S163" s="313">
        <f>SUM(O163:R163)</f>
        <v>-259658</v>
      </c>
      <c r="T163" s="351">
        <f>-349532-S163</f>
        <v>-89874</v>
      </c>
      <c r="U163" s="312">
        <v>-73864</v>
      </c>
      <c r="V163" s="351">
        <f>-145005-U163</f>
        <v>-71141</v>
      </c>
      <c r="W163" s="156" t="s">
        <v>74</v>
      </c>
      <c r="X163" s="156" t="s">
        <v>74</v>
      </c>
      <c r="Y163" s="156" t="s">
        <v>74</v>
      </c>
      <c r="Z163" s="156" t="s">
        <v>74</v>
      </c>
      <c r="AA163" s="156" t="s">
        <v>74</v>
      </c>
      <c r="AB163" s="156" t="s">
        <v>74</v>
      </c>
      <c r="AC163" s="156" t="s">
        <v>74</v>
      </c>
      <c r="AD163" s="156" t="s">
        <v>74</v>
      </c>
      <c r="AE163" s="156" t="s">
        <v>74</v>
      </c>
      <c r="AF163" s="156" t="s">
        <v>74</v>
      </c>
      <c r="AG163" s="156" t="s">
        <v>74</v>
      </c>
      <c r="AH163" s="156" t="s">
        <v>74</v>
      </c>
      <c r="AI163" s="156" t="s">
        <v>74</v>
      </c>
      <c r="AJ163" s="156" t="s">
        <v>74</v>
      </c>
      <c r="AK163" s="156" t="s">
        <v>74</v>
      </c>
      <c r="AL163" s="156" t="s">
        <v>74</v>
      </c>
      <c r="AM163" s="156" t="s">
        <v>74</v>
      </c>
      <c r="AN163" s="156" t="s">
        <v>74</v>
      </c>
      <c r="AO163" s="156" t="s">
        <v>74</v>
      </c>
      <c r="AP163" s="156" t="s">
        <v>74</v>
      </c>
      <c r="AQ163" s="156" t="s">
        <v>74</v>
      </c>
      <c r="AR163" s="156" t="s">
        <v>74</v>
      </c>
      <c r="AS163" s="156" t="s">
        <v>74</v>
      </c>
      <c r="AT163" s="156" t="s">
        <v>74</v>
      </c>
      <c r="AU163" s="156" t="s">
        <v>74</v>
      </c>
      <c r="AV163" s="156" t="s">
        <v>74</v>
      </c>
      <c r="AW163" s="156" t="s">
        <v>74</v>
      </c>
      <c r="AX163" s="143"/>
      <c r="AY163" s="143"/>
      <c r="AZ163" s="143"/>
      <c r="BA163" s="143"/>
      <c r="BB163" s="143"/>
      <c r="BC163" s="143"/>
      <c r="BD163" s="143"/>
      <c r="BE163" s="143"/>
      <c r="BF163" s="143"/>
      <c r="BG163" s="143"/>
      <c r="BH163" s="143"/>
      <c r="BI163" s="143"/>
      <c r="BJ163" s="143"/>
      <c r="BK163" s="143"/>
      <c r="BL163" s="143"/>
      <c r="BM163" s="143"/>
      <c r="BN163" s="143"/>
      <c r="BO163" s="143"/>
      <c r="BP163" s="143"/>
    </row>
    <row r="164" spans="2:68">
      <c r="B164" s="143"/>
      <c r="C164" s="143"/>
      <c r="D164" s="143" t="s">
        <v>101</v>
      </c>
      <c r="E164" s="312">
        <v>7034</v>
      </c>
      <c r="F164" s="312">
        <v>9329</v>
      </c>
      <c r="G164" s="312">
        <f>11412-F164</f>
        <v>2083</v>
      </c>
      <c r="H164" s="312">
        <f>12341-11412</f>
        <v>929</v>
      </c>
      <c r="I164" s="313">
        <f t="shared" si="585"/>
        <v>19375</v>
      </c>
      <c r="J164" s="312">
        <v>11167</v>
      </c>
      <c r="K164" s="312">
        <v>44602</v>
      </c>
      <c r="L164" s="351">
        <f>49074-K164-J164</f>
        <v>-6695</v>
      </c>
      <c r="M164" s="351">
        <f>52950-L164-K164-J164</f>
        <v>3876</v>
      </c>
      <c r="N164" s="313">
        <f t="shared" si="617"/>
        <v>52950</v>
      </c>
      <c r="O164" s="351">
        <f>61278-N164</f>
        <v>8328</v>
      </c>
      <c r="P164" s="312">
        <v>3966</v>
      </c>
      <c r="Q164" s="351">
        <f>11344-P164-O164</f>
        <v>-950</v>
      </c>
      <c r="R164" s="351">
        <f>11978-Q164-P164-O164</f>
        <v>634</v>
      </c>
      <c r="S164" s="313">
        <f>SUM(O164:R164)</f>
        <v>11978</v>
      </c>
      <c r="T164" s="351">
        <f>12438-S164</f>
        <v>460</v>
      </c>
      <c r="U164" s="312">
        <v>696</v>
      </c>
      <c r="V164" s="351">
        <f>1211-U164</f>
        <v>515</v>
      </c>
      <c r="W164" s="156" t="s">
        <v>74</v>
      </c>
      <c r="X164" s="156" t="s">
        <v>74</v>
      </c>
      <c r="Y164" s="156" t="s">
        <v>74</v>
      </c>
      <c r="Z164" s="156" t="s">
        <v>74</v>
      </c>
      <c r="AA164" s="156" t="s">
        <v>74</v>
      </c>
      <c r="AB164" s="156" t="s">
        <v>74</v>
      </c>
      <c r="AC164" s="156" t="s">
        <v>74</v>
      </c>
      <c r="AD164" s="156" t="s">
        <v>74</v>
      </c>
      <c r="AE164" s="156" t="s">
        <v>74</v>
      </c>
      <c r="AF164" s="156" t="s">
        <v>74</v>
      </c>
      <c r="AG164" s="156" t="s">
        <v>74</v>
      </c>
      <c r="AH164" s="156" t="s">
        <v>74</v>
      </c>
      <c r="AI164" s="156" t="s">
        <v>74</v>
      </c>
      <c r="AJ164" s="156" t="s">
        <v>74</v>
      </c>
      <c r="AK164" s="156" t="s">
        <v>74</v>
      </c>
      <c r="AL164" s="156" t="s">
        <v>74</v>
      </c>
      <c r="AM164" s="156" t="s">
        <v>74</v>
      </c>
      <c r="AN164" s="156" t="s">
        <v>74</v>
      </c>
      <c r="AO164" s="156" t="s">
        <v>74</v>
      </c>
      <c r="AP164" s="156" t="s">
        <v>74</v>
      </c>
      <c r="AQ164" s="156" t="s">
        <v>74</v>
      </c>
      <c r="AR164" s="156" t="s">
        <v>74</v>
      </c>
      <c r="AS164" s="156" t="s">
        <v>74</v>
      </c>
      <c r="AT164" s="156" t="s">
        <v>74</v>
      </c>
      <c r="AU164" s="156" t="s">
        <v>74</v>
      </c>
      <c r="AV164" s="156" t="s">
        <v>74</v>
      </c>
      <c r="AW164" s="156" t="s">
        <v>74</v>
      </c>
      <c r="AX164" s="143"/>
      <c r="AY164" s="143"/>
      <c r="AZ164" s="143"/>
      <c r="BA164" s="143"/>
      <c r="BB164" s="143"/>
      <c r="BC164" s="143"/>
      <c r="BD164" s="143"/>
      <c r="BE164" s="143"/>
      <c r="BF164" s="143"/>
      <c r="BG164" s="143"/>
      <c r="BH164" s="143"/>
      <c r="BI164" s="143"/>
      <c r="BJ164" s="143"/>
      <c r="BK164" s="143"/>
      <c r="BL164" s="143"/>
      <c r="BM164" s="143"/>
      <c r="BN164" s="143"/>
      <c r="BO164" s="143"/>
      <c r="BP164" s="143"/>
    </row>
    <row r="165" spans="2:68">
      <c r="B165" s="143"/>
      <c r="C165" s="143"/>
      <c r="D165" s="143" t="s">
        <v>102</v>
      </c>
      <c r="E165" s="312">
        <f>52149-46298</f>
        <v>5851</v>
      </c>
      <c r="F165" s="312">
        <v>300</v>
      </c>
      <c r="G165" s="312">
        <f>3382-F165</f>
        <v>3082</v>
      </c>
      <c r="H165" s="312">
        <f>-29135-3382</f>
        <v>-32517</v>
      </c>
      <c r="I165" s="313">
        <f t="shared" si="585"/>
        <v>-23284</v>
      </c>
      <c r="J165" s="312">
        <f>-98966--29135</f>
        <v>-69831</v>
      </c>
      <c r="K165" s="312">
        <v>-25252</v>
      </c>
      <c r="L165" s="351">
        <f>-37872-K165-J165</f>
        <v>57211</v>
      </c>
      <c r="M165" s="351">
        <f>-49742-L165-K165-J165</f>
        <v>-11870</v>
      </c>
      <c r="N165" s="313">
        <f t="shared" si="617"/>
        <v>-49742</v>
      </c>
      <c r="O165" s="351">
        <f>-85800-N165</f>
        <v>-36058</v>
      </c>
      <c r="P165" s="312">
        <v>12901</v>
      </c>
      <c r="Q165" s="351">
        <f>-6836-P165-O165</f>
        <v>16321</v>
      </c>
      <c r="R165" s="351">
        <f>-47302-Q165-O165-P165</f>
        <v>-40466</v>
      </c>
      <c r="S165" s="313">
        <f>SUM(O165:R165)</f>
        <v>-47302</v>
      </c>
      <c r="T165" s="351">
        <f>-76024-S165</f>
        <v>-28722</v>
      </c>
      <c r="U165" s="312">
        <v>57628</v>
      </c>
      <c r="V165" s="351">
        <f>60591-U165</f>
        <v>2963</v>
      </c>
      <c r="W165" s="156" t="s">
        <v>74</v>
      </c>
      <c r="X165" s="156" t="s">
        <v>74</v>
      </c>
      <c r="Y165" s="156" t="s">
        <v>74</v>
      </c>
      <c r="Z165" s="156" t="s">
        <v>74</v>
      </c>
      <c r="AA165" s="156" t="s">
        <v>74</v>
      </c>
      <c r="AB165" s="156" t="s">
        <v>74</v>
      </c>
      <c r="AC165" s="156" t="s">
        <v>74</v>
      </c>
      <c r="AD165" s="156" t="s">
        <v>74</v>
      </c>
      <c r="AE165" s="156" t="s">
        <v>74</v>
      </c>
      <c r="AF165" s="156" t="s">
        <v>74</v>
      </c>
      <c r="AG165" s="156" t="s">
        <v>74</v>
      </c>
      <c r="AH165" s="156" t="s">
        <v>74</v>
      </c>
      <c r="AI165" s="156" t="s">
        <v>74</v>
      </c>
      <c r="AJ165" s="156" t="s">
        <v>74</v>
      </c>
      <c r="AK165" s="156" t="s">
        <v>74</v>
      </c>
      <c r="AL165" s="156" t="s">
        <v>74</v>
      </c>
      <c r="AM165" s="156" t="s">
        <v>74</v>
      </c>
      <c r="AN165" s="156" t="s">
        <v>74</v>
      </c>
      <c r="AO165" s="156" t="s">
        <v>74</v>
      </c>
      <c r="AP165" s="156" t="s">
        <v>74</v>
      </c>
      <c r="AQ165" s="156" t="s">
        <v>74</v>
      </c>
      <c r="AR165" s="156" t="s">
        <v>74</v>
      </c>
      <c r="AS165" s="156" t="s">
        <v>74</v>
      </c>
      <c r="AT165" s="156" t="s">
        <v>74</v>
      </c>
      <c r="AU165" s="156" t="s">
        <v>74</v>
      </c>
      <c r="AV165" s="156" t="s">
        <v>74</v>
      </c>
      <c r="AW165" s="156" t="s">
        <v>74</v>
      </c>
      <c r="AX165" s="143"/>
      <c r="AY165" s="143"/>
      <c r="AZ165" s="143"/>
      <c r="BA165" s="143"/>
      <c r="BB165" s="143"/>
      <c r="BC165" s="143"/>
      <c r="BD165" s="143"/>
      <c r="BE165" s="143"/>
      <c r="BF165" s="143"/>
      <c r="BG165" s="143"/>
      <c r="BH165" s="143"/>
      <c r="BI165" s="143"/>
      <c r="BJ165" s="143"/>
      <c r="BK165" s="143"/>
      <c r="BL165" s="143"/>
      <c r="BM165" s="143"/>
      <c r="BN165" s="143"/>
      <c r="BO165" s="143"/>
      <c r="BP165" s="143"/>
    </row>
    <row r="166" spans="2:68" s="71" customFormat="1">
      <c r="B166" s="146"/>
      <c r="C166" s="146"/>
      <c r="D166" s="153" t="s">
        <v>103</v>
      </c>
      <c r="E166" s="311">
        <f>SUM(E161:E165)</f>
        <v>-55408</v>
      </c>
      <c r="F166" s="311">
        <f>SUM(F161:F165)</f>
        <v>-70183</v>
      </c>
      <c r="G166" s="311">
        <f>SUM(G161:G165)</f>
        <v>-119592</v>
      </c>
      <c r="H166" s="311">
        <f>SUM(H161:H165)</f>
        <v>-134585</v>
      </c>
      <c r="I166" s="318">
        <f t="shared" si="585"/>
        <v>-379768</v>
      </c>
      <c r="J166" s="311">
        <f>SUM(J161:J165)</f>
        <v>-191657</v>
      </c>
      <c r="K166" s="311">
        <f>SUM(K161:K165)</f>
        <v>506446</v>
      </c>
      <c r="L166" s="352">
        <f>343687-K166-J166</f>
        <v>28898</v>
      </c>
      <c r="M166" s="352">
        <f>386496-L166-K166-J166</f>
        <v>42809</v>
      </c>
      <c r="N166" s="318">
        <f t="shared" si="617"/>
        <v>386496</v>
      </c>
      <c r="O166" s="352">
        <f>249642-N166</f>
        <v>-136854</v>
      </c>
      <c r="P166" s="311">
        <f t="shared" ref="P166:AW166" si="644">SUM(P161:P165)</f>
        <v>-95052</v>
      </c>
      <c r="Q166" s="311">
        <f t="shared" si="644"/>
        <v>-92965</v>
      </c>
      <c r="R166" s="311">
        <f t="shared" si="644"/>
        <v>120318</v>
      </c>
      <c r="S166" s="318">
        <f t="shared" si="644"/>
        <v>-204553</v>
      </c>
      <c r="T166" s="311">
        <f t="shared" si="644"/>
        <v>-37554</v>
      </c>
      <c r="U166" s="311">
        <f t="shared" si="644"/>
        <v>-23094</v>
      </c>
      <c r="V166" s="311">
        <f t="shared" si="644"/>
        <v>-86592</v>
      </c>
      <c r="W166" s="330">
        <f t="shared" si="644"/>
        <v>0</v>
      </c>
      <c r="X166" s="330">
        <f t="shared" si="644"/>
        <v>0</v>
      </c>
      <c r="Y166" s="330">
        <f t="shared" si="644"/>
        <v>0</v>
      </c>
      <c r="Z166" s="330">
        <f t="shared" si="644"/>
        <v>0</v>
      </c>
      <c r="AA166" s="330">
        <f t="shared" si="644"/>
        <v>0</v>
      </c>
      <c r="AB166" s="330">
        <f t="shared" si="644"/>
        <v>0</v>
      </c>
      <c r="AC166" s="330">
        <f t="shared" si="644"/>
        <v>0</v>
      </c>
      <c r="AD166" s="330">
        <f t="shared" si="644"/>
        <v>0</v>
      </c>
      <c r="AE166" s="330">
        <f t="shared" si="644"/>
        <v>0</v>
      </c>
      <c r="AF166" s="330">
        <f t="shared" si="644"/>
        <v>0</v>
      </c>
      <c r="AG166" s="330">
        <f t="shared" si="644"/>
        <v>0</v>
      </c>
      <c r="AH166" s="330">
        <f t="shared" si="644"/>
        <v>0</v>
      </c>
      <c r="AI166" s="330">
        <f t="shared" si="644"/>
        <v>0</v>
      </c>
      <c r="AJ166" s="330">
        <f t="shared" si="644"/>
        <v>0</v>
      </c>
      <c r="AK166" s="330">
        <f t="shared" si="644"/>
        <v>0</v>
      </c>
      <c r="AL166" s="330">
        <f t="shared" si="644"/>
        <v>0</v>
      </c>
      <c r="AM166" s="330">
        <f t="shared" si="644"/>
        <v>0</v>
      </c>
      <c r="AN166" s="330">
        <f t="shared" si="644"/>
        <v>0</v>
      </c>
      <c r="AO166" s="330">
        <f t="shared" si="644"/>
        <v>0</v>
      </c>
      <c r="AP166" s="330">
        <f t="shared" si="644"/>
        <v>0</v>
      </c>
      <c r="AQ166" s="330">
        <f t="shared" si="644"/>
        <v>0</v>
      </c>
      <c r="AR166" s="330">
        <f t="shared" si="644"/>
        <v>0</v>
      </c>
      <c r="AS166" s="330">
        <f t="shared" si="644"/>
        <v>0</v>
      </c>
      <c r="AT166" s="330">
        <f t="shared" si="644"/>
        <v>0</v>
      </c>
      <c r="AU166" s="330">
        <f t="shared" si="644"/>
        <v>0</v>
      </c>
      <c r="AV166" s="330">
        <f t="shared" si="644"/>
        <v>0</v>
      </c>
      <c r="AW166" s="330">
        <f t="shared" si="644"/>
        <v>0</v>
      </c>
      <c r="AX166" s="146"/>
      <c r="AY166" s="146"/>
      <c r="AZ166" s="146"/>
      <c r="BA166" s="146"/>
      <c r="BB166" s="146"/>
      <c r="BC166" s="146"/>
      <c r="BD166" s="146"/>
      <c r="BE166" s="146"/>
      <c r="BF166" s="146"/>
      <c r="BG166" s="146"/>
      <c r="BH166" s="146"/>
      <c r="BI166" s="146"/>
      <c r="BJ166" s="146"/>
      <c r="BK166" s="146"/>
      <c r="BL166" s="146"/>
      <c r="BM166" s="146"/>
      <c r="BN166" s="146"/>
      <c r="BO166" s="146"/>
      <c r="BP166" s="146"/>
    </row>
    <row r="167" spans="2:68">
      <c r="B167" s="143"/>
      <c r="C167" s="143"/>
      <c r="D167" s="143"/>
      <c r="E167" s="151"/>
      <c r="F167" s="151"/>
      <c r="G167" s="151"/>
      <c r="H167" s="151"/>
      <c r="I167" s="148"/>
      <c r="J167" s="151"/>
      <c r="K167" s="151"/>
      <c r="L167" s="151"/>
      <c r="M167" s="323"/>
      <c r="N167" s="148"/>
      <c r="O167" s="323"/>
      <c r="P167" s="323"/>
      <c r="Q167" s="323"/>
      <c r="R167" s="323"/>
      <c r="S167" s="148"/>
      <c r="T167" s="151"/>
      <c r="U167" s="151"/>
      <c r="V167" s="151"/>
      <c r="W167" s="156"/>
      <c r="X167" s="156"/>
      <c r="Y167" s="156"/>
      <c r="Z167" s="156"/>
      <c r="AA167" s="156"/>
      <c r="AB167" s="156"/>
      <c r="AC167" s="156"/>
      <c r="AD167" s="156"/>
      <c r="AE167" s="156"/>
      <c r="AF167" s="156"/>
      <c r="AG167" s="156"/>
      <c r="AH167" s="156"/>
      <c r="AI167" s="156"/>
      <c r="AJ167" s="156"/>
      <c r="AK167" s="156"/>
      <c r="AL167" s="156"/>
      <c r="AM167" s="156"/>
      <c r="AN167" s="156"/>
      <c r="AO167" s="156"/>
      <c r="AP167" s="156"/>
      <c r="AQ167" s="156"/>
      <c r="AR167" s="156"/>
      <c r="AS167" s="156"/>
      <c r="AT167" s="156"/>
      <c r="AU167" s="156"/>
      <c r="AV167" s="156"/>
      <c r="AW167" s="156"/>
      <c r="AX167" s="143"/>
      <c r="AY167" s="143"/>
      <c r="AZ167" s="143"/>
      <c r="BA167" s="143"/>
      <c r="BB167" s="143"/>
      <c r="BC167" s="143"/>
      <c r="BD167" s="143"/>
      <c r="BE167" s="143"/>
      <c r="BF167" s="143"/>
      <c r="BG167" s="143"/>
      <c r="BH167" s="143"/>
      <c r="BI167" s="143"/>
      <c r="BJ167" s="143"/>
      <c r="BK167" s="143"/>
      <c r="BL167" s="143"/>
      <c r="BM167" s="143"/>
      <c r="BN167" s="143"/>
      <c r="BO167" s="143"/>
      <c r="BP167" s="143"/>
    </row>
    <row r="168" spans="2:68" s="71" customFormat="1">
      <c r="B168" s="146"/>
      <c r="C168" s="146"/>
      <c r="D168" s="146" t="s">
        <v>107</v>
      </c>
      <c r="E168" s="315">
        <f>E152+E159+E166+E169</f>
        <v>-23517</v>
      </c>
      <c r="F168" s="315">
        <f>F152+F159+F166+F169</f>
        <v>-246038</v>
      </c>
      <c r="G168" s="315">
        <f>G152+G159+G166+G169</f>
        <v>166662</v>
      </c>
      <c r="H168" s="315">
        <f>H152+H159+H166+H169</f>
        <v>192869</v>
      </c>
      <c r="I168" s="313">
        <f t="shared" si="585"/>
        <v>89976</v>
      </c>
      <c r="J168" s="315">
        <f>34680-113493</f>
        <v>-78813</v>
      </c>
      <c r="K168" s="315">
        <v>703003</v>
      </c>
      <c r="L168" s="353">
        <f>40019-K168-J168</f>
        <v>-584171</v>
      </c>
      <c r="M168" s="353">
        <f>5786-L168-K168-J168</f>
        <v>-34233</v>
      </c>
      <c r="N168" s="313">
        <f t="shared" si="617"/>
        <v>5786</v>
      </c>
      <c r="O168" s="353">
        <f>-20838-N168</f>
        <v>-26624</v>
      </c>
      <c r="P168" s="310">
        <v>71765</v>
      </c>
      <c r="Q168" s="315">
        <f>-70514-P168-O168</f>
        <v>-115655</v>
      </c>
      <c r="R168" s="315">
        <f>R171-R170</f>
        <v>320040</v>
      </c>
      <c r="S168" s="313">
        <f>S171-S170</f>
        <v>222902</v>
      </c>
      <c r="T168" s="315">
        <f>T171-T170</f>
        <v>-26421</v>
      </c>
      <c r="U168" s="315">
        <f>U171-U170</f>
        <v>-248478</v>
      </c>
      <c r="V168" s="315">
        <f>V171-V170</f>
        <v>-212695</v>
      </c>
      <c r="W168" s="378">
        <f>W152+W159+W166</f>
        <v>244211.5495891344</v>
      </c>
      <c r="X168" s="378">
        <f>SUM(T168:W168)</f>
        <v>-243382.4504108656</v>
      </c>
      <c r="Y168" s="378">
        <f>Y152+Y159+Y166</f>
        <v>124408.74643096166</v>
      </c>
      <c r="Z168" s="378">
        <f>Z152+Z159+Z166</f>
        <v>96603.125816661515</v>
      </c>
      <c r="AA168" s="378">
        <f>AA152+AA159+AA166</f>
        <v>128384.17071161346</v>
      </c>
      <c r="AB168" s="378">
        <f>AB152+AB159+AB166</f>
        <v>465052.51487221936</v>
      </c>
      <c r="AC168" s="378">
        <f>SUM(Y168:AB168)</f>
        <v>814448.55783145595</v>
      </c>
      <c r="AD168" s="378">
        <f>AD152+AD159+AD166</f>
        <v>124340.96970116823</v>
      </c>
      <c r="AE168" s="378">
        <f>AE152+AE159+AE166</f>
        <v>107017.03272445532</v>
      </c>
      <c r="AF168" s="378">
        <f>AF152+AF159+AF166</f>
        <v>93404.144989599328</v>
      </c>
      <c r="AG168" s="378">
        <f>AG152+AG159+AG166</f>
        <v>553503.87788268144</v>
      </c>
      <c r="AH168" s="378">
        <f>SUM(AD168:AG168)</f>
        <v>878266.02529790427</v>
      </c>
      <c r="AI168" s="378">
        <f>AI152+AI159+AI166</f>
        <v>160866.78660211369</v>
      </c>
      <c r="AJ168" s="378">
        <f>AJ152+AJ159+AJ166</f>
        <v>119180.64822861968</v>
      </c>
      <c r="AK168" s="378">
        <f>AK152+AK159+AK166</f>
        <v>131829.89540278068</v>
      </c>
      <c r="AL168" s="378">
        <f>AL152+AL159+AL166</f>
        <v>483985.80335938185</v>
      </c>
      <c r="AM168" s="378">
        <f>SUM(AI168:AL168)</f>
        <v>895863.13359289593</v>
      </c>
      <c r="AN168" s="378">
        <f>AN152+AN159+AN166</f>
        <v>209143.04862577742</v>
      </c>
      <c r="AO168" s="378">
        <f>AO152+AO159+AO166</f>
        <v>111427.89930255496</v>
      </c>
      <c r="AP168" s="378">
        <f>AP152+AP159+AP166</f>
        <v>126332.77839745616</v>
      </c>
      <c r="AQ168" s="378">
        <f>AQ152+AQ159+AQ166</f>
        <v>588814.31612874777</v>
      </c>
      <c r="AR168" s="378">
        <f>SUM(AN168:AQ168)</f>
        <v>1035718.0424545363</v>
      </c>
      <c r="AS168" s="378">
        <f>AS152+AS159+AS166</f>
        <v>244001.66715655208</v>
      </c>
      <c r="AT168" s="378">
        <f>AT152+AT159+AT166</f>
        <v>116183.57869421493</v>
      </c>
      <c r="AU168" s="378">
        <f>AU152+AU159+AU166</f>
        <v>122648.7401215939</v>
      </c>
      <c r="AV168" s="378">
        <f>AV152+AV159+AV166</f>
        <v>633217.43135838048</v>
      </c>
      <c r="AW168" s="378">
        <f>SUM(AS168:AV168)</f>
        <v>1116051.4173307414</v>
      </c>
      <c r="AX168" s="146"/>
      <c r="AY168" s="146"/>
      <c r="AZ168" s="146"/>
      <c r="BA168" s="146"/>
      <c r="BB168" s="146"/>
      <c r="BC168" s="146"/>
      <c r="BD168" s="146"/>
      <c r="BE168" s="146"/>
      <c r="BF168" s="146"/>
      <c r="BG168" s="146"/>
      <c r="BH168" s="146"/>
      <c r="BI168" s="146"/>
      <c r="BJ168" s="146"/>
      <c r="BK168" s="146"/>
      <c r="BL168" s="146"/>
      <c r="BM168" s="146"/>
      <c r="BN168" s="146"/>
      <c r="BO168" s="146"/>
      <c r="BP168" s="146"/>
    </row>
    <row r="169" spans="2:68">
      <c r="B169" s="143"/>
      <c r="C169" s="143"/>
      <c r="D169" s="143" t="s">
        <v>109</v>
      </c>
      <c r="E169" s="312">
        <f>-15095--26113</f>
        <v>11018</v>
      </c>
      <c r="F169" s="312">
        <v>5186</v>
      </c>
      <c r="G169" s="312">
        <f>9486-F169</f>
        <v>4300</v>
      </c>
      <c r="H169" s="312">
        <f>2472-9486</f>
        <v>-7014</v>
      </c>
      <c r="I169" s="313">
        <f t="shared" si="585"/>
        <v>13490</v>
      </c>
      <c r="J169" s="312">
        <f>-1121-2472</f>
        <v>-3593</v>
      </c>
      <c r="K169" s="312">
        <v>-3723</v>
      </c>
      <c r="L169" s="351">
        <f>-19216-K169-J169</f>
        <v>-11900</v>
      </c>
      <c r="M169" s="351">
        <f>-7703-L169-K169-J169</f>
        <v>11513</v>
      </c>
      <c r="N169" s="313">
        <f t="shared" si="617"/>
        <v>-7703</v>
      </c>
      <c r="O169" s="351">
        <f>-10549-N169</f>
        <v>-2846</v>
      </c>
      <c r="P169" s="312">
        <v>14669</v>
      </c>
      <c r="Q169" s="349">
        <f>14521-P169-O169</f>
        <v>2698</v>
      </c>
      <c r="R169" s="349">
        <f>20321-Q169-P169-O169</f>
        <v>5800</v>
      </c>
      <c r="S169" s="313">
        <f>SUM(O169:R169)</f>
        <v>20321</v>
      </c>
      <c r="T169" s="351">
        <f>17490-S169</f>
        <v>-2831</v>
      </c>
      <c r="U169" s="312">
        <v>-11642</v>
      </c>
      <c r="V169" s="351">
        <f>-14206-U169</f>
        <v>-2564</v>
      </c>
      <c r="W169" s="156" t="s">
        <v>74</v>
      </c>
      <c r="X169" s="156" t="s">
        <v>74</v>
      </c>
      <c r="Y169" s="156" t="s">
        <v>74</v>
      </c>
      <c r="Z169" s="156" t="s">
        <v>74</v>
      </c>
      <c r="AA169" s="156" t="s">
        <v>74</v>
      </c>
      <c r="AB169" s="156" t="s">
        <v>74</v>
      </c>
      <c r="AC169" s="156" t="s">
        <v>74</v>
      </c>
      <c r="AD169" s="156" t="s">
        <v>74</v>
      </c>
      <c r="AE169" s="156" t="s">
        <v>74</v>
      </c>
      <c r="AF169" s="156" t="s">
        <v>74</v>
      </c>
      <c r="AG169" s="156" t="s">
        <v>74</v>
      </c>
      <c r="AH169" s="156" t="s">
        <v>74</v>
      </c>
      <c r="AI169" s="156" t="s">
        <v>74</v>
      </c>
      <c r="AJ169" s="156" t="s">
        <v>74</v>
      </c>
      <c r="AK169" s="156" t="s">
        <v>74</v>
      </c>
      <c r="AL169" s="156" t="s">
        <v>74</v>
      </c>
      <c r="AM169" s="156" t="s">
        <v>74</v>
      </c>
      <c r="AN169" s="156" t="s">
        <v>74</v>
      </c>
      <c r="AO169" s="156" t="s">
        <v>74</v>
      </c>
      <c r="AP169" s="156" t="s">
        <v>74</v>
      </c>
      <c r="AQ169" s="156" t="s">
        <v>74</v>
      </c>
      <c r="AR169" s="156" t="s">
        <v>74</v>
      </c>
      <c r="AS169" s="156" t="s">
        <v>74</v>
      </c>
      <c r="AT169" s="156" t="s">
        <v>74</v>
      </c>
      <c r="AU169" s="156" t="s">
        <v>74</v>
      </c>
      <c r="AV169" s="156" t="s">
        <v>74</v>
      </c>
      <c r="AW169" s="156" t="s">
        <v>74</v>
      </c>
      <c r="AX169" s="143"/>
      <c r="AY169" s="143"/>
      <c r="AZ169" s="143"/>
      <c r="BA169" s="143"/>
      <c r="BB169" s="143"/>
      <c r="BC169" s="143"/>
      <c r="BD169" s="143"/>
      <c r="BE169" s="143"/>
      <c r="BF169" s="143"/>
      <c r="BG169" s="143"/>
      <c r="BH169" s="143"/>
      <c r="BI169" s="143"/>
      <c r="BJ169" s="143"/>
      <c r="BK169" s="143"/>
      <c r="BL169" s="143"/>
      <c r="BM169" s="143"/>
      <c r="BN169" s="143"/>
      <c r="BO169" s="143"/>
      <c r="BP169" s="143"/>
    </row>
    <row r="170" spans="2:68">
      <c r="B170" s="143"/>
      <c r="C170" s="143"/>
      <c r="D170" s="143" t="s">
        <v>104</v>
      </c>
      <c r="E170" s="312">
        <v>1617245</v>
      </c>
      <c r="F170" s="312">
        <v>1593728</v>
      </c>
      <c r="G170" s="316">
        <f>F171</f>
        <v>1347690</v>
      </c>
      <c r="H170" s="316">
        <f>G100</f>
        <v>1514352</v>
      </c>
      <c r="I170" s="354">
        <f>E170</f>
        <v>1617245</v>
      </c>
      <c r="J170" s="316">
        <f>I171</f>
        <v>1707221</v>
      </c>
      <c r="K170" s="316">
        <f>J171</f>
        <v>1628408</v>
      </c>
      <c r="L170" s="316">
        <f>K171</f>
        <v>2331411</v>
      </c>
      <c r="M170" s="316">
        <f>L171</f>
        <v>1668427</v>
      </c>
      <c r="N170" s="354">
        <f>I171</f>
        <v>1707221</v>
      </c>
      <c r="O170" s="316">
        <f>N171</f>
        <v>1634194</v>
      </c>
      <c r="P170" s="316">
        <f>O171</f>
        <v>1607570</v>
      </c>
      <c r="Q170" s="316">
        <f>P171</f>
        <v>1679335</v>
      </c>
      <c r="R170" s="316">
        <f>Q171</f>
        <v>1537056</v>
      </c>
      <c r="S170" s="354">
        <f>N171</f>
        <v>1634194</v>
      </c>
      <c r="T170" s="316">
        <f>S171</f>
        <v>1857096</v>
      </c>
      <c r="U170" s="316">
        <f t="shared" ref="U170:V170" si="645">T171</f>
        <v>1830675</v>
      </c>
      <c r="V170" s="316">
        <f t="shared" si="645"/>
        <v>1582197</v>
      </c>
      <c r="W170" s="332">
        <f>V171</f>
        <v>1369502</v>
      </c>
      <c r="X170" s="332">
        <f>S171</f>
        <v>1857096</v>
      </c>
      <c r="Y170" s="332">
        <f>X171</f>
        <v>1613713.5495891343</v>
      </c>
      <c r="Z170" s="332">
        <f t="shared" ref="Z170:AB170" si="646">Y171</f>
        <v>1738122.2960200959</v>
      </c>
      <c r="AA170" s="332">
        <f t="shared" si="646"/>
        <v>1834725.4218367576</v>
      </c>
      <c r="AB170" s="332">
        <f t="shared" si="646"/>
        <v>1963109.5925483711</v>
      </c>
      <c r="AC170" s="332">
        <f>X171</f>
        <v>1613713.5495891343</v>
      </c>
      <c r="AD170" s="332">
        <f>AC171</f>
        <v>2428162.1074205902</v>
      </c>
      <c r="AE170" s="332">
        <f t="shared" ref="AE170:AG170" si="647">AD171</f>
        <v>2552503.0771217584</v>
      </c>
      <c r="AF170" s="332">
        <f t="shared" si="647"/>
        <v>2659520.1098462138</v>
      </c>
      <c r="AG170" s="332">
        <f t="shared" si="647"/>
        <v>2752924.2548358133</v>
      </c>
      <c r="AH170" s="332">
        <f>AC171</f>
        <v>2428162.1074205902</v>
      </c>
      <c r="AI170" s="332">
        <f>AH171</f>
        <v>3306428.1327184946</v>
      </c>
      <c r="AJ170" s="332">
        <f t="shared" ref="AJ170:AL170" si="648">AI171</f>
        <v>3467294.9193206085</v>
      </c>
      <c r="AK170" s="332">
        <f t="shared" si="648"/>
        <v>3586475.5675492282</v>
      </c>
      <c r="AL170" s="332">
        <f t="shared" si="648"/>
        <v>3718305.4629520089</v>
      </c>
      <c r="AM170" s="332">
        <f>AH171</f>
        <v>3306428.1327184946</v>
      </c>
      <c r="AN170" s="332">
        <f>AM171</f>
        <v>4202291.2663113903</v>
      </c>
      <c r="AO170" s="332">
        <f t="shared" ref="AO170:AQ170" si="649">AN171</f>
        <v>4411434.3149371678</v>
      </c>
      <c r="AP170" s="332">
        <f t="shared" si="649"/>
        <v>4522862.214239723</v>
      </c>
      <c r="AQ170" s="332">
        <f t="shared" si="649"/>
        <v>4649194.9926371789</v>
      </c>
      <c r="AR170" s="332">
        <f>AM171</f>
        <v>4202291.2663113903</v>
      </c>
      <c r="AS170" s="332">
        <f>AR171</f>
        <v>5238009.3087659264</v>
      </c>
      <c r="AT170" s="332">
        <f t="shared" ref="AT170:AV170" si="650">AS171</f>
        <v>5482010.9759224784</v>
      </c>
      <c r="AU170" s="332">
        <f t="shared" si="650"/>
        <v>5598194.5546166934</v>
      </c>
      <c r="AV170" s="332">
        <f t="shared" si="650"/>
        <v>5720843.2947382871</v>
      </c>
      <c r="AW170" s="332">
        <f>AR171</f>
        <v>5238009.3087659264</v>
      </c>
      <c r="AX170" s="143"/>
      <c r="AY170" s="143"/>
      <c r="AZ170" s="143"/>
      <c r="BA170" s="143"/>
      <c r="BB170" s="143"/>
      <c r="BC170" s="143"/>
      <c r="BD170" s="143"/>
      <c r="BE170" s="143"/>
      <c r="BF170" s="143"/>
      <c r="BG170" s="143"/>
      <c r="BH170" s="143"/>
      <c r="BI170" s="143"/>
      <c r="BJ170" s="143"/>
      <c r="BK170" s="143"/>
      <c r="BL170" s="143"/>
      <c r="BM170" s="143"/>
      <c r="BN170" s="143"/>
      <c r="BO170" s="143"/>
      <c r="BP170" s="143"/>
    </row>
    <row r="171" spans="2:68">
      <c r="B171" s="143"/>
      <c r="C171" s="143"/>
      <c r="D171" s="143" t="s">
        <v>105</v>
      </c>
      <c r="E171" s="349">
        <f t="shared" ref="E171:K171" si="651">E170+E168</f>
        <v>1593728</v>
      </c>
      <c r="F171" s="349">
        <f t="shared" si="651"/>
        <v>1347690</v>
      </c>
      <c r="G171" s="349">
        <f t="shared" si="651"/>
        <v>1514352</v>
      </c>
      <c r="H171" s="349">
        <f t="shared" si="651"/>
        <v>1707221</v>
      </c>
      <c r="I171" s="354">
        <f>H171</f>
        <v>1707221</v>
      </c>
      <c r="J171" s="349">
        <f t="shared" si="651"/>
        <v>1628408</v>
      </c>
      <c r="K171" s="349">
        <f t="shared" si="651"/>
        <v>2331411</v>
      </c>
      <c r="L171" s="312">
        <v>1668427</v>
      </c>
      <c r="M171" s="351">
        <f>M168+M170</f>
        <v>1634194</v>
      </c>
      <c r="N171" s="354">
        <f>M171</f>
        <v>1634194</v>
      </c>
      <c r="O171" s="349">
        <f>O170+O168</f>
        <v>1607570</v>
      </c>
      <c r="P171" s="349">
        <f>P170+P168</f>
        <v>1679335</v>
      </c>
      <c r="Q171" s="312">
        <v>1537056</v>
      </c>
      <c r="R171" s="312">
        <v>1857096</v>
      </c>
      <c r="S171" s="354">
        <f>R171</f>
        <v>1857096</v>
      </c>
      <c r="T171" s="312">
        <v>1830675</v>
      </c>
      <c r="U171" s="312">
        <v>1582197</v>
      </c>
      <c r="V171" s="312">
        <v>1369502</v>
      </c>
      <c r="W171" s="331">
        <f>W168+W170</f>
        <v>1613713.5495891343</v>
      </c>
      <c r="X171" s="331">
        <f>X168+X170</f>
        <v>1613713.5495891343</v>
      </c>
      <c r="Y171" s="331">
        <f>Y168+Y170</f>
        <v>1738122.2960200959</v>
      </c>
      <c r="Z171" s="331">
        <f t="shared" ref="Z171:AB171" si="652">Z168+Z170</f>
        <v>1834725.4218367576</v>
      </c>
      <c r="AA171" s="331">
        <f t="shared" si="652"/>
        <v>1963109.5925483711</v>
      </c>
      <c r="AB171" s="331">
        <f t="shared" si="652"/>
        <v>2428162.1074205902</v>
      </c>
      <c r="AC171" s="331">
        <f>AC168+AC170</f>
        <v>2428162.1074205902</v>
      </c>
      <c r="AD171" s="331">
        <f>AD168+AD170</f>
        <v>2552503.0771217584</v>
      </c>
      <c r="AE171" s="331">
        <f t="shared" ref="AE171" si="653">AE168+AE170</f>
        <v>2659520.1098462138</v>
      </c>
      <c r="AF171" s="331">
        <f t="shared" ref="AF171" si="654">AF168+AF170</f>
        <v>2752924.2548358133</v>
      </c>
      <c r="AG171" s="331">
        <f t="shared" ref="AG171" si="655">AG168+AG170</f>
        <v>3306428.1327184946</v>
      </c>
      <c r="AH171" s="331">
        <f>AH168+AH170</f>
        <v>3306428.1327184946</v>
      </c>
      <c r="AI171" s="331">
        <f>AI168+AI170</f>
        <v>3467294.9193206085</v>
      </c>
      <c r="AJ171" s="331">
        <f t="shared" ref="AJ171" si="656">AJ168+AJ170</f>
        <v>3586475.5675492282</v>
      </c>
      <c r="AK171" s="331">
        <f t="shared" ref="AK171" si="657">AK168+AK170</f>
        <v>3718305.4629520089</v>
      </c>
      <c r="AL171" s="331">
        <f t="shared" ref="AL171" si="658">AL168+AL170</f>
        <v>4202291.2663113903</v>
      </c>
      <c r="AM171" s="331">
        <f>AM168+AM170</f>
        <v>4202291.2663113903</v>
      </c>
      <c r="AN171" s="331">
        <f>AN168+AN170</f>
        <v>4411434.3149371678</v>
      </c>
      <c r="AO171" s="331">
        <f t="shared" ref="AO171" si="659">AO168+AO170</f>
        <v>4522862.214239723</v>
      </c>
      <c r="AP171" s="331">
        <f t="shared" ref="AP171" si="660">AP168+AP170</f>
        <v>4649194.9926371789</v>
      </c>
      <c r="AQ171" s="331">
        <f t="shared" ref="AQ171" si="661">AQ168+AQ170</f>
        <v>5238009.3087659264</v>
      </c>
      <c r="AR171" s="331">
        <f>AR168+AR170</f>
        <v>5238009.3087659264</v>
      </c>
      <c r="AS171" s="331">
        <f>AS168+AS170</f>
        <v>5482010.9759224784</v>
      </c>
      <c r="AT171" s="331">
        <f t="shared" ref="AT171" si="662">AT168+AT170</f>
        <v>5598194.5546166934</v>
      </c>
      <c r="AU171" s="331">
        <f t="shared" ref="AU171" si="663">AU168+AU170</f>
        <v>5720843.2947382871</v>
      </c>
      <c r="AV171" s="331">
        <f t="shared" ref="AV171" si="664">AV168+AV170</f>
        <v>6354060.7260966673</v>
      </c>
      <c r="AW171" s="331">
        <f>AW168+AW170</f>
        <v>6354060.7260966673</v>
      </c>
      <c r="AX171" s="143"/>
      <c r="AY171" s="143"/>
      <c r="AZ171" s="143"/>
      <c r="BA171" s="143"/>
      <c r="BB171" s="143"/>
      <c r="BC171" s="143"/>
      <c r="BD171" s="143"/>
      <c r="BE171" s="143"/>
      <c r="BF171" s="143"/>
      <c r="BG171" s="143"/>
      <c r="BH171" s="143"/>
      <c r="BI171" s="143"/>
      <c r="BJ171" s="143"/>
      <c r="BK171" s="143"/>
      <c r="BL171" s="143"/>
      <c r="BM171" s="143"/>
      <c r="BN171" s="143"/>
      <c r="BO171" s="143"/>
      <c r="BP171" s="143"/>
    </row>
    <row r="172" spans="2:68">
      <c r="B172" s="143"/>
      <c r="C172" s="143"/>
      <c r="D172" s="143"/>
      <c r="E172" s="154"/>
      <c r="F172" s="154"/>
      <c r="G172" s="154"/>
      <c r="H172" s="154"/>
      <c r="I172" s="165"/>
      <c r="J172" s="154"/>
      <c r="K172" s="154"/>
      <c r="L172" s="154"/>
      <c r="M172" s="154"/>
      <c r="O172" s="154"/>
      <c r="P172" s="154"/>
      <c r="Q172" s="154"/>
      <c r="R172" s="154"/>
      <c r="S172" s="165"/>
      <c r="T172" s="154"/>
      <c r="U172" s="154"/>
      <c r="V172" s="154"/>
      <c r="W172" s="154"/>
      <c r="X172" s="154"/>
      <c r="Y172" s="154"/>
      <c r="Z172" s="154"/>
      <c r="AA172" s="154"/>
      <c r="AB172" s="154"/>
      <c r="AC172" s="154"/>
      <c r="AD172" s="154"/>
      <c r="AE172" s="154"/>
      <c r="AF172" s="154"/>
      <c r="AG172" s="154"/>
      <c r="AH172" s="154"/>
      <c r="AI172" s="154"/>
      <c r="AJ172" s="154"/>
      <c r="AK172" s="154"/>
      <c r="AL172" s="154"/>
      <c r="AM172" s="154"/>
      <c r="AN172" s="154"/>
      <c r="AO172" s="154"/>
      <c r="AP172" s="154"/>
      <c r="AQ172" s="154"/>
      <c r="AR172" s="154"/>
      <c r="AS172" s="154"/>
      <c r="AT172" s="154"/>
      <c r="AU172" s="154"/>
      <c r="AV172" s="154"/>
      <c r="AW172" s="154"/>
      <c r="AX172" s="143"/>
      <c r="AY172" s="143"/>
      <c r="AZ172" s="143"/>
      <c r="BA172" s="143"/>
      <c r="BB172" s="143"/>
      <c r="BC172" s="143"/>
      <c r="BD172" s="143"/>
      <c r="BE172" s="143"/>
      <c r="BF172" s="143"/>
      <c r="BG172" s="143"/>
      <c r="BH172" s="143"/>
      <c r="BI172" s="143"/>
      <c r="BJ172" s="143"/>
      <c r="BK172" s="143"/>
      <c r="BL172" s="143"/>
      <c r="BM172" s="143"/>
      <c r="BN172" s="143"/>
      <c r="BO172" s="143"/>
      <c r="BP172" s="143"/>
    </row>
    <row r="173" spans="2:68">
      <c r="B173" s="143"/>
      <c r="C173" s="143"/>
      <c r="D173" s="143"/>
      <c r="E173" s="154"/>
      <c r="F173" s="154"/>
      <c r="G173" s="154"/>
      <c r="H173" s="154"/>
      <c r="I173" s="165"/>
      <c r="J173" s="154"/>
      <c r="K173" s="154"/>
      <c r="L173" s="154"/>
      <c r="M173" s="154"/>
      <c r="O173" s="154"/>
      <c r="P173" s="154"/>
      <c r="Q173" s="154"/>
      <c r="R173" s="154"/>
      <c r="S173" s="165"/>
      <c r="T173" s="154"/>
      <c r="U173" s="154"/>
      <c r="V173" s="154"/>
      <c r="W173" s="154"/>
      <c r="X173" s="154"/>
      <c r="Y173" s="154"/>
      <c r="Z173" s="154"/>
      <c r="AA173" s="154"/>
      <c r="AB173" s="154"/>
      <c r="AC173" s="154"/>
      <c r="AD173" s="154"/>
      <c r="AE173" s="154"/>
      <c r="AF173" s="154"/>
      <c r="AG173" s="154"/>
      <c r="AH173" s="154"/>
      <c r="AI173" s="154"/>
      <c r="AJ173" s="154"/>
      <c r="AK173" s="154"/>
      <c r="AL173" s="154"/>
      <c r="AM173" s="154"/>
      <c r="AN173" s="154"/>
      <c r="AO173" s="154"/>
      <c r="AP173" s="154"/>
      <c r="AQ173" s="154"/>
      <c r="AR173" s="154"/>
      <c r="AS173" s="154"/>
      <c r="AT173" s="154"/>
      <c r="AU173" s="154"/>
      <c r="AV173" s="154"/>
      <c r="AW173" s="154"/>
      <c r="AX173" s="143"/>
      <c r="AY173" s="143"/>
      <c r="AZ173" s="143"/>
      <c r="BA173" s="143"/>
      <c r="BB173" s="143"/>
      <c r="BC173" s="143"/>
      <c r="BD173" s="143"/>
      <c r="BE173" s="143"/>
      <c r="BF173" s="143"/>
      <c r="BG173" s="143"/>
      <c r="BH173" s="143"/>
      <c r="BI173" s="143"/>
      <c r="BJ173" s="143"/>
      <c r="BK173" s="143"/>
      <c r="BL173" s="143"/>
      <c r="BM173" s="143"/>
      <c r="BN173" s="143"/>
      <c r="BO173" s="143"/>
      <c r="BP173" s="143"/>
    </row>
    <row r="174" spans="2:68">
      <c r="B174" s="143"/>
      <c r="C174" s="143"/>
      <c r="D174" s="143"/>
      <c r="E174" s="154"/>
      <c r="F174" s="154"/>
      <c r="G174" s="154"/>
      <c r="H174" s="154"/>
      <c r="I174" s="165"/>
      <c r="J174" s="154"/>
      <c r="K174" s="154"/>
      <c r="L174" s="154"/>
      <c r="M174" s="154"/>
      <c r="O174" s="154"/>
      <c r="P174" s="154"/>
      <c r="Q174" s="154"/>
      <c r="R174" s="154"/>
      <c r="S174" s="165"/>
      <c r="T174" s="154"/>
      <c r="U174" s="154"/>
      <c r="V174" s="154"/>
      <c r="W174" s="154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  <c r="AH174" s="154"/>
      <c r="AI174" s="154"/>
      <c r="AJ174" s="154"/>
      <c r="AK174" s="154"/>
      <c r="AL174" s="154"/>
      <c r="AM174" s="154"/>
      <c r="AN174" s="154"/>
      <c r="AO174" s="154"/>
      <c r="AP174" s="154"/>
      <c r="AQ174" s="154"/>
      <c r="AR174" s="154"/>
      <c r="AS174" s="154"/>
      <c r="AT174" s="154"/>
      <c r="AU174" s="154"/>
      <c r="AV174" s="154"/>
      <c r="AW174" s="154"/>
      <c r="AX174" s="143"/>
      <c r="AY174" s="143"/>
      <c r="AZ174" s="143"/>
      <c r="BA174" s="143"/>
      <c r="BB174" s="143"/>
      <c r="BC174" s="143"/>
      <c r="BD174" s="143"/>
      <c r="BE174" s="143"/>
      <c r="BF174" s="143"/>
      <c r="BG174" s="143"/>
      <c r="BH174" s="143"/>
      <c r="BI174" s="143"/>
      <c r="BJ174" s="143"/>
      <c r="BK174" s="143"/>
      <c r="BL174" s="143"/>
      <c r="BM174" s="143"/>
      <c r="BN174" s="143"/>
      <c r="BO174" s="143"/>
      <c r="BP174" s="143"/>
    </row>
    <row r="175" spans="2:68">
      <c r="B175" s="143"/>
      <c r="C175" s="143"/>
      <c r="D175" s="143"/>
      <c r="E175" s="154"/>
      <c r="F175" s="154"/>
      <c r="G175" s="154"/>
      <c r="H175" s="154"/>
      <c r="I175" s="165"/>
      <c r="J175" s="154"/>
      <c r="K175" s="154"/>
      <c r="L175" s="154"/>
      <c r="M175" s="154"/>
      <c r="O175" s="154"/>
      <c r="P175" s="154"/>
      <c r="Q175" s="154"/>
      <c r="R175" s="154"/>
      <c r="S175" s="165"/>
      <c r="T175" s="154"/>
      <c r="U175" s="154"/>
      <c r="V175" s="154"/>
      <c r="W175" s="154"/>
      <c r="X175" s="154"/>
      <c r="Y175" s="154"/>
      <c r="Z175" s="154"/>
      <c r="AA175" s="154"/>
      <c r="AB175" s="154"/>
      <c r="AC175" s="154"/>
      <c r="AD175" s="154"/>
      <c r="AE175" s="154"/>
      <c r="AF175" s="154"/>
      <c r="AG175" s="154"/>
      <c r="AH175" s="154"/>
      <c r="AI175" s="154"/>
      <c r="AJ175" s="154"/>
      <c r="AK175" s="154"/>
      <c r="AL175" s="154"/>
      <c r="AM175" s="154"/>
      <c r="AN175" s="154"/>
      <c r="AO175" s="154"/>
      <c r="AP175" s="154"/>
      <c r="AQ175" s="154"/>
      <c r="AR175" s="154"/>
      <c r="AS175" s="154"/>
      <c r="AT175" s="154"/>
      <c r="AU175" s="154"/>
      <c r="AV175" s="154"/>
      <c r="AW175" s="154"/>
      <c r="AX175" s="143"/>
      <c r="AY175" s="143"/>
      <c r="AZ175" s="143"/>
      <c r="BA175" s="143"/>
      <c r="BB175" s="143"/>
      <c r="BC175" s="143"/>
      <c r="BD175" s="143"/>
      <c r="BE175" s="143"/>
      <c r="BF175" s="143"/>
      <c r="BG175" s="143"/>
      <c r="BH175" s="143"/>
      <c r="BI175" s="143"/>
      <c r="BJ175" s="143"/>
      <c r="BK175" s="143"/>
      <c r="BL175" s="143"/>
      <c r="BM175" s="143"/>
      <c r="BN175" s="143"/>
      <c r="BO175" s="143"/>
      <c r="BP175" s="143"/>
    </row>
    <row r="176" spans="2:68">
      <c r="B176" s="143"/>
      <c r="C176" s="143"/>
      <c r="D176" s="143"/>
      <c r="E176" s="154"/>
      <c r="F176" s="154"/>
      <c r="G176" s="154"/>
      <c r="H176" s="154"/>
      <c r="I176" s="165"/>
      <c r="J176" s="154"/>
      <c r="K176" s="154"/>
      <c r="L176" s="154"/>
      <c r="M176" s="154"/>
      <c r="O176" s="154"/>
      <c r="P176" s="154"/>
      <c r="Q176" s="154"/>
      <c r="R176" s="154"/>
      <c r="S176" s="165"/>
      <c r="T176" s="154"/>
      <c r="U176" s="154"/>
      <c r="V176" s="154"/>
      <c r="W176" s="154"/>
      <c r="X176" s="154"/>
      <c r="Y176" s="154"/>
      <c r="Z176" s="154"/>
      <c r="AA176" s="154"/>
      <c r="AB176" s="154"/>
      <c r="AC176" s="154"/>
      <c r="AD176" s="154"/>
      <c r="AE176" s="154"/>
      <c r="AF176" s="154"/>
      <c r="AG176" s="154"/>
      <c r="AH176" s="154"/>
      <c r="AI176" s="154"/>
      <c r="AJ176" s="154"/>
      <c r="AK176" s="154"/>
      <c r="AL176" s="154"/>
      <c r="AM176" s="154"/>
      <c r="AN176" s="154"/>
      <c r="AO176" s="154"/>
      <c r="AP176" s="154"/>
      <c r="AQ176" s="154"/>
      <c r="AR176" s="154"/>
      <c r="AS176" s="154"/>
      <c r="AT176" s="154"/>
      <c r="AU176" s="154"/>
      <c r="AV176" s="154"/>
      <c r="AW176" s="154"/>
      <c r="AX176" s="143"/>
      <c r="AY176" s="143"/>
      <c r="AZ176" s="143"/>
      <c r="BA176" s="143"/>
      <c r="BB176" s="143"/>
      <c r="BC176" s="143"/>
      <c r="BD176" s="143"/>
      <c r="BE176" s="143"/>
      <c r="BF176" s="143"/>
      <c r="BG176" s="143"/>
      <c r="BH176" s="143"/>
      <c r="BI176" s="143"/>
      <c r="BJ176" s="143"/>
      <c r="BK176" s="143"/>
      <c r="BL176" s="143"/>
      <c r="BM176" s="143"/>
      <c r="BN176" s="143"/>
      <c r="BO176" s="143"/>
      <c r="BP176" s="143"/>
    </row>
    <row r="177" spans="2:68">
      <c r="B177" s="143"/>
      <c r="C177" s="143"/>
      <c r="D177" s="143"/>
      <c r="E177" s="154"/>
      <c r="F177" s="154"/>
      <c r="G177" s="154"/>
      <c r="H177" s="154"/>
      <c r="I177" s="165"/>
      <c r="J177" s="154"/>
      <c r="K177" s="154"/>
      <c r="L177" s="154"/>
      <c r="M177" s="154"/>
      <c r="O177" s="154"/>
      <c r="P177" s="154"/>
      <c r="Q177" s="154"/>
      <c r="R177" s="154"/>
      <c r="S177" s="165"/>
      <c r="T177" s="154"/>
      <c r="U177" s="154"/>
      <c r="V177" s="154"/>
      <c r="W177" s="154"/>
      <c r="X177" s="154"/>
      <c r="Y177" s="154"/>
      <c r="Z177" s="154"/>
      <c r="AA177" s="154"/>
      <c r="AB177" s="154"/>
      <c r="AC177" s="154"/>
      <c r="AD177" s="154"/>
      <c r="AE177" s="154"/>
      <c r="AF177" s="154"/>
      <c r="AG177" s="154"/>
      <c r="AH177" s="154"/>
      <c r="AI177" s="154"/>
      <c r="AJ177" s="154"/>
      <c r="AK177" s="154"/>
      <c r="AL177" s="154"/>
      <c r="AM177" s="154"/>
      <c r="AN177" s="154"/>
      <c r="AO177" s="154"/>
      <c r="AP177" s="154"/>
      <c r="AQ177" s="154"/>
      <c r="AR177" s="154"/>
      <c r="AS177" s="154"/>
      <c r="AT177" s="154"/>
      <c r="AU177" s="154"/>
      <c r="AV177" s="154"/>
      <c r="AW177" s="154"/>
      <c r="AX177" s="143"/>
      <c r="AY177" s="143"/>
      <c r="AZ177" s="143"/>
      <c r="BA177" s="143"/>
      <c r="BB177" s="143"/>
      <c r="BC177" s="143"/>
      <c r="BD177" s="143"/>
      <c r="BE177" s="143"/>
      <c r="BF177" s="143"/>
      <c r="BG177" s="143"/>
      <c r="BH177" s="143"/>
      <c r="BI177" s="143"/>
      <c r="BJ177" s="143"/>
      <c r="BK177" s="143"/>
      <c r="BL177" s="143"/>
      <c r="BM177" s="143"/>
      <c r="BN177" s="143"/>
      <c r="BO177" s="143"/>
      <c r="BP177" s="143"/>
    </row>
    <row r="178" spans="2:68">
      <c r="B178" s="143"/>
      <c r="C178" s="143"/>
      <c r="D178" s="143"/>
      <c r="E178" s="154"/>
      <c r="F178" s="154"/>
      <c r="G178" s="154"/>
      <c r="H178" s="154"/>
      <c r="I178" s="165"/>
      <c r="J178" s="154"/>
      <c r="K178" s="154"/>
      <c r="L178" s="154"/>
      <c r="M178" s="154"/>
      <c r="O178" s="154"/>
      <c r="P178" s="154"/>
      <c r="Q178" s="154"/>
      <c r="R178" s="154"/>
      <c r="S178" s="165"/>
      <c r="T178" s="154"/>
      <c r="U178" s="154"/>
      <c r="V178" s="154"/>
      <c r="W178" s="154"/>
      <c r="X178" s="154"/>
      <c r="Y178" s="154"/>
      <c r="Z178" s="154"/>
      <c r="AA178" s="154"/>
      <c r="AB178" s="154"/>
      <c r="AC178" s="154"/>
      <c r="AD178" s="154"/>
      <c r="AE178" s="154"/>
      <c r="AF178" s="154"/>
      <c r="AG178" s="154"/>
      <c r="AH178" s="154"/>
      <c r="AI178" s="154"/>
      <c r="AJ178" s="154"/>
      <c r="AK178" s="154"/>
      <c r="AL178" s="154"/>
      <c r="AM178" s="154"/>
      <c r="AN178" s="154"/>
      <c r="AO178" s="154"/>
      <c r="AP178" s="154"/>
      <c r="AQ178" s="154"/>
      <c r="AR178" s="154"/>
      <c r="AS178" s="154"/>
      <c r="AT178" s="154"/>
      <c r="AU178" s="154"/>
      <c r="AV178" s="154"/>
      <c r="AW178" s="154"/>
      <c r="AX178" s="143"/>
      <c r="AY178" s="143"/>
      <c r="AZ178" s="143"/>
      <c r="BA178" s="143"/>
      <c r="BB178" s="143"/>
      <c r="BC178" s="143"/>
      <c r="BD178" s="143"/>
      <c r="BE178" s="143"/>
      <c r="BF178" s="143"/>
      <c r="BG178" s="143"/>
      <c r="BH178" s="143"/>
      <c r="BI178" s="143"/>
      <c r="BJ178" s="143"/>
      <c r="BK178" s="143"/>
      <c r="BL178" s="143"/>
      <c r="BM178" s="143"/>
      <c r="BN178" s="143"/>
      <c r="BO178" s="143"/>
      <c r="BP178" s="143"/>
    </row>
    <row r="179" spans="2:68">
      <c r="B179" s="143"/>
      <c r="C179" s="143"/>
      <c r="D179" s="143"/>
      <c r="E179" s="154"/>
      <c r="F179" s="154"/>
      <c r="G179" s="154"/>
      <c r="H179" s="154"/>
      <c r="I179" s="165"/>
      <c r="J179" s="154"/>
      <c r="K179" s="154"/>
      <c r="L179" s="154"/>
      <c r="M179" s="154"/>
      <c r="O179" s="154"/>
      <c r="P179" s="154"/>
      <c r="Q179" s="154"/>
      <c r="R179" s="154"/>
      <c r="S179" s="165"/>
      <c r="T179" s="154"/>
      <c r="U179" s="154"/>
      <c r="V179" s="154"/>
      <c r="W179" s="154"/>
      <c r="X179" s="154"/>
      <c r="Y179" s="154"/>
      <c r="Z179" s="154"/>
      <c r="AA179" s="154"/>
      <c r="AB179" s="154"/>
      <c r="AC179" s="154"/>
      <c r="AD179" s="154"/>
      <c r="AE179" s="154"/>
      <c r="AF179" s="154"/>
      <c r="AG179" s="154"/>
      <c r="AH179" s="154"/>
      <c r="AI179" s="154"/>
      <c r="AJ179" s="154"/>
      <c r="AK179" s="154"/>
      <c r="AL179" s="154"/>
      <c r="AM179" s="154"/>
      <c r="AN179" s="154"/>
      <c r="AO179" s="154"/>
      <c r="AP179" s="154"/>
      <c r="AQ179" s="154"/>
      <c r="AR179" s="154"/>
      <c r="AS179" s="154"/>
      <c r="AT179" s="154"/>
      <c r="AU179" s="154"/>
      <c r="AV179" s="154"/>
      <c r="AW179" s="154"/>
      <c r="AX179" s="143"/>
      <c r="AY179" s="143"/>
      <c r="AZ179" s="143"/>
      <c r="BA179" s="143"/>
      <c r="BB179" s="143"/>
      <c r="BC179" s="143"/>
      <c r="BD179" s="143"/>
      <c r="BE179" s="143"/>
      <c r="BF179" s="143"/>
      <c r="BG179" s="143"/>
      <c r="BH179" s="143"/>
      <c r="BI179" s="143"/>
      <c r="BJ179" s="143"/>
      <c r="BK179" s="143"/>
      <c r="BL179" s="143"/>
      <c r="BM179" s="143"/>
      <c r="BN179" s="143"/>
      <c r="BO179" s="143"/>
      <c r="BP179" s="143"/>
    </row>
    <row r="180" spans="2:68">
      <c r="B180" s="143"/>
      <c r="C180" s="143"/>
      <c r="D180" s="143"/>
      <c r="E180" s="154"/>
      <c r="F180" s="154"/>
      <c r="G180" s="154"/>
      <c r="H180" s="154"/>
      <c r="I180" s="165"/>
      <c r="J180" s="154"/>
      <c r="K180" s="154"/>
      <c r="L180" s="154"/>
      <c r="M180" s="154"/>
      <c r="O180" s="154"/>
      <c r="P180" s="154"/>
      <c r="Q180" s="154"/>
      <c r="R180" s="154"/>
      <c r="S180" s="165"/>
      <c r="T180" s="154"/>
      <c r="U180" s="154"/>
      <c r="V180" s="154"/>
      <c r="W180" s="154"/>
      <c r="X180" s="154"/>
      <c r="Y180" s="154"/>
      <c r="Z180" s="154"/>
      <c r="AA180" s="154"/>
      <c r="AB180" s="154"/>
      <c r="AC180" s="154"/>
      <c r="AD180" s="154"/>
      <c r="AE180" s="154"/>
      <c r="AF180" s="154"/>
      <c r="AG180" s="154"/>
      <c r="AH180" s="154"/>
      <c r="AI180" s="154"/>
      <c r="AJ180" s="154"/>
      <c r="AK180" s="154"/>
      <c r="AL180" s="154"/>
      <c r="AM180" s="154"/>
      <c r="AN180" s="154"/>
      <c r="AO180" s="154"/>
      <c r="AP180" s="154"/>
      <c r="AQ180" s="154"/>
      <c r="AR180" s="154"/>
      <c r="AS180" s="154"/>
      <c r="AT180" s="154"/>
      <c r="AU180" s="154"/>
      <c r="AV180" s="154"/>
      <c r="AW180" s="154"/>
      <c r="AX180" s="143"/>
      <c r="AY180" s="143"/>
      <c r="AZ180" s="143"/>
      <c r="BA180" s="143"/>
      <c r="BB180" s="143"/>
      <c r="BC180" s="143"/>
      <c r="BD180" s="143"/>
      <c r="BE180" s="143"/>
      <c r="BF180" s="143"/>
      <c r="BG180" s="143"/>
      <c r="BH180" s="143"/>
      <c r="BI180" s="143"/>
      <c r="BJ180" s="143"/>
      <c r="BK180" s="143"/>
      <c r="BL180" s="143"/>
      <c r="BM180" s="143"/>
      <c r="BN180" s="143"/>
      <c r="BO180" s="143"/>
      <c r="BP180" s="143"/>
    </row>
  </sheetData>
  <mergeCells count="9">
    <mergeCell ref="AD2:AG2"/>
    <mergeCell ref="AI2:AL2"/>
    <mergeCell ref="AN2:AQ2"/>
    <mergeCell ref="AS2:AV2"/>
    <mergeCell ref="E2:H2"/>
    <mergeCell ref="J2:M2"/>
    <mergeCell ref="O2:R2"/>
    <mergeCell ref="T2:W2"/>
    <mergeCell ref="Y2:AB2"/>
  </mergeCells>
  <phoneticPr fontId="74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33CC33"/>
  </sheetPr>
  <dimension ref="C2:AX84"/>
  <sheetViews>
    <sheetView showGridLines="0" zoomScale="97" zoomScaleNormal="97" zoomScalePageLayoutView="97" workbookViewId="0">
      <pane xSplit="4" ySplit="3" topLeftCell="I5" activePane="bottomRight" state="frozen"/>
      <selection pane="topRight" activeCell="E1" sqref="E1"/>
      <selection pane="bottomLeft" activeCell="A4" sqref="A4"/>
      <selection pane="bottomRight" activeCell="AR8" sqref="AR8"/>
    </sheetView>
  </sheetViews>
  <sheetFormatPr baseColWidth="10" defaultColWidth="8.83203125" defaultRowHeight="15" outlineLevelRow="1" outlineLevelCol="1"/>
  <cols>
    <col min="1" max="1" width="1" customWidth="1"/>
    <col min="2" max="2" width="2.1640625" customWidth="1"/>
    <col min="3" max="3" width="2" customWidth="1"/>
    <col min="4" max="4" width="37" customWidth="1"/>
    <col min="5" max="8" width="9.1640625" style="1" hidden="1" customWidth="1" outlineLevel="1"/>
    <col min="9" max="9" width="8.83203125" style="1" collapsed="1"/>
    <col min="10" max="13" width="9.1640625" style="1" customWidth="1" outlineLevel="1"/>
    <col min="14" max="14" width="8.83203125" style="1"/>
    <col min="15" max="18" width="9.1640625" style="1" customWidth="1" outlineLevel="1"/>
    <col min="19" max="19" width="8.83203125" style="1"/>
    <col min="20" max="23" width="9.1640625" style="1" hidden="1" customWidth="1" outlineLevel="1"/>
    <col min="24" max="24" width="8.83203125" style="1" collapsed="1"/>
    <col min="25" max="28" width="9.1640625" style="1" hidden="1" customWidth="1" outlineLevel="1"/>
    <col min="29" max="29" width="8.83203125" style="1" collapsed="1"/>
    <col min="30" max="33" width="0" style="1" hidden="1" customWidth="1" outlineLevel="1"/>
    <col min="34" max="34" width="8.83203125" style="1" collapsed="1"/>
    <col min="35" max="38" width="0" style="1" hidden="1" customWidth="1" outlineLevel="1"/>
    <col min="39" max="39" width="8.83203125" style="1" collapsed="1"/>
    <col min="40" max="43" width="0" style="1" hidden="1" customWidth="1" outlineLevel="1"/>
    <col min="44" max="44" width="8.83203125" style="1" collapsed="1"/>
  </cols>
  <sheetData>
    <row r="2" spans="3:45" ht="45" customHeight="1">
      <c r="E2" s="531" t="s">
        <v>38</v>
      </c>
      <c r="F2" s="531"/>
      <c r="G2" s="531"/>
      <c r="H2" s="531"/>
      <c r="J2" s="531" t="s">
        <v>39</v>
      </c>
      <c r="K2" s="531"/>
      <c r="L2" s="531"/>
      <c r="M2" s="531"/>
      <c r="O2" s="531" t="s">
        <v>40</v>
      </c>
      <c r="P2" s="531"/>
      <c r="Q2" s="531"/>
      <c r="R2" s="531"/>
      <c r="T2" s="531" t="s">
        <v>41</v>
      </c>
      <c r="U2" s="531"/>
      <c r="V2" s="531"/>
      <c r="W2" s="531"/>
      <c r="Y2" s="531" t="s">
        <v>44</v>
      </c>
      <c r="Z2" s="531"/>
      <c r="AA2" s="531"/>
      <c r="AB2" s="531"/>
      <c r="AD2" s="531" t="s">
        <v>43</v>
      </c>
      <c r="AE2" s="531"/>
      <c r="AF2" s="531"/>
      <c r="AG2" s="531"/>
      <c r="AI2" s="531" t="s">
        <v>42</v>
      </c>
      <c r="AJ2" s="531"/>
      <c r="AK2" s="531"/>
      <c r="AL2" s="531"/>
      <c r="AN2" s="531" t="s">
        <v>45</v>
      </c>
      <c r="AO2" s="531"/>
      <c r="AP2" s="531"/>
      <c r="AQ2" s="531"/>
    </row>
    <row r="3" spans="3:45">
      <c r="E3" s="35" t="s">
        <v>5</v>
      </c>
      <c r="F3" s="35" t="s">
        <v>7</v>
      </c>
      <c r="G3" s="35" t="s">
        <v>6</v>
      </c>
      <c r="H3" s="35" t="s">
        <v>8</v>
      </c>
      <c r="I3" s="35">
        <v>2015</v>
      </c>
      <c r="J3" s="35" t="s">
        <v>9</v>
      </c>
      <c r="K3" s="35" t="s">
        <v>10</v>
      </c>
      <c r="L3" s="35" t="s">
        <v>11</v>
      </c>
      <c r="M3" s="35" t="s">
        <v>12</v>
      </c>
      <c r="N3" s="48">
        <v>2016</v>
      </c>
      <c r="O3" s="35" t="s">
        <v>13</v>
      </c>
      <c r="P3" s="35" t="s">
        <v>14</v>
      </c>
      <c r="Q3" s="35" t="s">
        <v>15</v>
      </c>
      <c r="R3" s="35" t="s">
        <v>16</v>
      </c>
      <c r="S3" s="48">
        <v>2017</v>
      </c>
      <c r="T3" s="35" t="s">
        <v>17</v>
      </c>
      <c r="U3" s="35" t="s">
        <v>18</v>
      </c>
      <c r="V3" s="35" t="s">
        <v>19</v>
      </c>
      <c r="W3" s="35" t="s">
        <v>20</v>
      </c>
      <c r="X3" s="48">
        <v>2018</v>
      </c>
      <c r="Y3" s="35" t="s">
        <v>21</v>
      </c>
      <c r="Z3" s="35" t="s">
        <v>22</v>
      </c>
      <c r="AA3" s="35" t="s">
        <v>23</v>
      </c>
      <c r="AB3" s="35" t="s">
        <v>24</v>
      </c>
      <c r="AC3" s="48">
        <v>2019</v>
      </c>
      <c r="AD3" s="35" t="s">
        <v>25</v>
      </c>
      <c r="AE3" s="35" t="s">
        <v>26</v>
      </c>
      <c r="AF3" s="35" t="s">
        <v>27</v>
      </c>
      <c r="AG3" s="35" t="s">
        <v>28</v>
      </c>
      <c r="AH3" s="48">
        <v>2020</v>
      </c>
      <c r="AI3" s="35" t="s">
        <v>29</v>
      </c>
      <c r="AJ3" s="35" t="s">
        <v>30</v>
      </c>
      <c r="AK3" s="35" t="s">
        <v>31</v>
      </c>
      <c r="AL3" s="35" t="s">
        <v>32</v>
      </c>
      <c r="AM3" s="48">
        <v>2021</v>
      </c>
      <c r="AN3" s="35" t="s">
        <v>33</v>
      </c>
      <c r="AO3" s="35" t="s">
        <v>34</v>
      </c>
      <c r="AP3" s="35" t="s">
        <v>35</v>
      </c>
      <c r="AQ3" s="35" t="s">
        <v>36</v>
      </c>
      <c r="AR3" s="48">
        <v>2022</v>
      </c>
    </row>
    <row r="4" spans="3:45">
      <c r="C4" s="63"/>
      <c r="D4" s="26" t="s">
        <v>110</v>
      </c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</row>
    <row r="6" spans="3:45" outlineLevel="1">
      <c r="C6" s="7"/>
      <c r="D6" s="14" t="s">
        <v>111</v>
      </c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</row>
    <row r="7" spans="3:45" outlineLevel="1"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</row>
    <row r="8" spans="3:45" s="9" customFormat="1" outlineLevel="1">
      <c r="D8" s="10" t="s">
        <v>112</v>
      </c>
      <c r="E8" s="209">
        <v>2052</v>
      </c>
      <c r="F8" s="209">
        <v>1966</v>
      </c>
      <c r="G8" s="209">
        <v>2205</v>
      </c>
      <c r="H8" s="209">
        <v>2469</v>
      </c>
      <c r="I8" s="209">
        <f>SUM(E8:H8)</f>
        <v>8692</v>
      </c>
      <c r="J8" s="209">
        <v>2201</v>
      </c>
      <c r="K8" s="209">
        <v>2196</v>
      </c>
      <c r="L8" s="209">
        <v>2102</v>
      </c>
      <c r="M8" s="209">
        <v>2102</v>
      </c>
      <c r="N8" s="209">
        <f>SUM(J8:M8)</f>
        <v>8601</v>
      </c>
      <c r="O8" s="209">
        <v>1983</v>
      </c>
      <c r="P8" s="209">
        <v>1973</v>
      </c>
      <c r="Q8" s="209">
        <v>1901</v>
      </c>
      <c r="R8" s="209">
        <f>M8*(1+R9)</f>
        <v>1996.8999999999999</v>
      </c>
      <c r="S8" s="209">
        <f>SUM(O8:R8)</f>
        <v>7853.9</v>
      </c>
      <c r="T8" s="209">
        <f>O8*(1+T9)</f>
        <v>1811.3627369394164</v>
      </c>
      <c r="U8" s="209">
        <f t="shared" ref="U8:W8" si="0">P8*(1+U9)</f>
        <v>1808.3897348381311</v>
      </c>
      <c r="V8" s="209">
        <f t="shared" si="0"/>
        <v>1751.0068148189084</v>
      </c>
      <c r="W8" s="209">
        <f t="shared" si="0"/>
        <v>1847.6876108047593</v>
      </c>
      <c r="X8" s="209">
        <f>SUM(T8:W8)</f>
        <v>7218.4468974012152</v>
      </c>
      <c r="Y8" s="209">
        <f>T8*(1+Y9)</f>
        <v>1670.2595557390187</v>
      </c>
      <c r="Z8" s="209">
        <f t="shared" ref="Z8" si="1">U8*(1+Z9)</f>
        <v>1672.6008030637083</v>
      </c>
      <c r="AA8" s="209">
        <f t="shared" ref="AA8" si="2">V8*(1+AA9)</f>
        <v>1626.6642685350382</v>
      </c>
      <c r="AB8" s="209">
        <f t="shared" ref="AB8" si="3">W8*(1+AB9)</f>
        <v>1723.4309657022695</v>
      </c>
      <c r="AC8" s="209">
        <f>SUM(Y8:AB8)</f>
        <v>6692.9555930400347</v>
      </c>
      <c r="AD8" s="209">
        <f>Y8*(1+AD9)</f>
        <v>1553.1592981566971</v>
      </c>
      <c r="AE8" s="209">
        <f t="shared" ref="AE8" si="4">Z8*(1+AE9)</f>
        <v>1559.567309916805</v>
      </c>
      <c r="AF8" s="209">
        <f t="shared" ref="AF8" si="5">AA8*(1+AF9)</f>
        <v>1522.7028117045011</v>
      </c>
      <c r="AG8" s="209">
        <f t="shared" ref="AG8" si="6">AB8*(1+AG9)</f>
        <v>1619.1205975694377</v>
      </c>
      <c r="AH8" s="209">
        <f>SUM(AD8:AG8)</f>
        <v>6254.5500173474411</v>
      </c>
      <c r="AI8" s="209">
        <f>AD8*(1+AI9)</f>
        <v>1455.1578720130524</v>
      </c>
      <c r="AJ8" s="209">
        <f t="shared" ref="AJ8" si="7">AE8*(1+AJ9)</f>
        <v>1464.712036343311</v>
      </c>
      <c r="AK8" s="209">
        <f t="shared" ref="AK8" si="8">AF8*(1+AK9)</f>
        <v>1435.1173368661136</v>
      </c>
      <c r="AL8" s="209">
        <f t="shared" ref="AL8" si="9">AG8*(1+AL9)</f>
        <v>1530.9232969229399</v>
      </c>
      <c r="AM8" s="209">
        <f>SUM(AI8:AL8)</f>
        <v>5885.9105421454169</v>
      </c>
      <c r="AN8" s="209">
        <f>AI8*(1+AN9)</f>
        <v>1372.5219233363066</v>
      </c>
      <c r="AO8" s="209">
        <f t="shared" ref="AO8" si="10">AJ8*(1+AO9)</f>
        <v>1384.5346089073439</v>
      </c>
      <c r="AP8" s="209">
        <f t="shared" ref="AP8" si="11">AK8*(1+AP9)</f>
        <v>1360.8245141374509</v>
      </c>
      <c r="AQ8" s="209">
        <f t="shared" ref="AQ8" si="12">AL8*(1+AQ9)</f>
        <v>1455.8696089893056</v>
      </c>
      <c r="AR8" s="209">
        <f>SUM(AN8:AQ8)</f>
        <v>5573.750655370407</v>
      </c>
      <c r="AS8" s="20"/>
    </row>
    <row r="9" spans="3:45" s="42" customFormat="1" outlineLevel="1">
      <c r="E9" s="30"/>
      <c r="F9" s="30"/>
      <c r="G9" s="30"/>
      <c r="H9" s="30"/>
      <c r="I9" s="40"/>
      <c r="J9" s="406">
        <f>INDEX(J11:J13,MATCH($D$10,Bear,0))</f>
        <v>7.0000000000000007E-2</v>
      </c>
      <c r="K9" s="406">
        <f>INDEX(K11:K13,MATCH($D$10,Bear,0))</f>
        <v>0.11698880976602233</v>
      </c>
      <c r="L9" s="406">
        <f>INDEX(L11:L13,MATCH($D$10,Bear,0))</f>
        <v>-4.6712018140589562E-2</v>
      </c>
      <c r="M9" s="406">
        <f>INDEX(M11:M13,MATCH($D$10,Bear,0))</f>
        <v>-0.14864317537464555</v>
      </c>
      <c r="N9" s="400">
        <f>N8/I8-1</f>
        <v>-1.0469397146801618E-2</v>
      </c>
      <c r="O9" s="406">
        <f>INDEX(O11:O13,MATCH($D$10,Bear,0))</f>
        <v>-9.9045888232621504E-2</v>
      </c>
      <c r="P9" s="406">
        <f>INDEX(P11:P13,MATCH($D$10,Bear,0))</f>
        <v>-0.10154826958105645</v>
      </c>
      <c r="Q9" s="406">
        <f>INDEX(Q11:Q13,MATCH($D$10,Bear,0))</f>
        <v>-9.5623215984776411E-2</v>
      </c>
      <c r="R9" s="409">
        <f>INDEX(R11:R13,MATCH($D$10,Bear,0))</f>
        <v>-0.05</v>
      </c>
      <c r="S9" s="410">
        <f>S8/N8-1</f>
        <v>-8.6861992791535947E-2</v>
      </c>
      <c r="T9" s="411">
        <f>INDEX(T11:T13,MATCH($D$10,Bear,0))</f>
        <v>-8.6554343449613588E-2</v>
      </c>
      <c r="U9" s="411">
        <f>INDEX(U11:U13,MATCH($D$10,Bear,0))</f>
        <v>-8.3431457253861613E-2</v>
      </c>
      <c r="V9" s="411">
        <f>INDEX(V11:V13,MATCH($D$10,Bear,0))</f>
        <v>-7.8902254172062897E-2</v>
      </c>
      <c r="W9" s="411">
        <f>INDEX(W11:W13,MATCH($D$10,Bear,0))</f>
        <v>-7.4722013718884525E-2</v>
      </c>
      <c r="X9" s="410">
        <f>X8/S8-1</f>
        <v>-8.0909242872812759E-2</v>
      </c>
      <c r="Y9" s="411">
        <f>INDEX(Y11:Y13,MATCH($D$10,Bear,0))</f>
        <v>-7.7898909104652234E-2</v>
      </c>
      <c r="Z9" s="411">
        <f>INDEX(Z11:Z13,MATCH($D$10,Bear,0))</f>
        <v>-7.5088311528475449E-2</v>
      </c>
      <c r="AA9" s="411">
        <f>INDEX(AA11:AA13,MATCH($D$10,Bear,0))</f>
        <v>-7.1012028754856613E-2</v>
      </c>
      <c r="AB9" s="411">
        <f>INDEX(AB11:AB13,MATCH($D$10,Bear,0))</f>
        <v>-6.7249812346996077E-2</v>
      </c>
      <c r="AC9" s="410">
        <f>AC8/X8-1</f>
        <v>-7.2798388882013954E-2</v>
      </c>
      <c r="AD9" s="411">
        <f>INDEX(AD11:AD13,MATCH($D$10,Bear,0))</f>
        <v>-7.0109018194187009E-2</v>
      </c>
      <c r="AE9" s="411">
        <f>INDEX(AE11:AE13,MATCH($D$10,Bear,0))</f>
        <v>-6.7579480375627901E-2</v>
      </c>
      <c r="AF9" s="411">
        <f>INDEX(AF11:AF13,MATCH($D$10,Bear,0))</f>
        <v>-6.3910825879370955E-2</v>
      </c>
      <c r="AG9" s="411">
        <f>INDEX(AG11:AG13,MATCH($D$10,Bear,0))</f>
        <v>-6.0524831112296472E-2</v>
      </c>
      <c r="AH9" s="410">
        <f>AH8/AC8-1</f>
        <v>-6.5502537645474423E-2</v>
      </c>
      <c r="AI9" s="411">
        <f>INDEX(AI11:AI13,MATCH($D$10,Bear,0))</f>
        <v>-6.3098116374768309E-2</v>
      </c>
      <c r="AJ9" s="411">
        <f>INDEX(AJ11:AJ13,MATCH($D$10,Bear,0))</f>
        <v>-6.0821532338065115E-2</v>
      </c>
      <c r="AK9" s="411">
        <f>INDEX(AK11:AK13,MATCH($D$10,Bear,0))</f>
        <v>-5.7519743291433861E-2</v>
      </c>
      <c r="AL9" s="411">
        <f>INDEX(AL11:AL13,MATCH($D$10,Bear,0))</f>
        <v>-5.4472348001066824E-2</v>
      </c>
      <c r="AM9" s="410">
        <f>AM8/AH8-1</f>
        <v>-5.8939407979722969E-2</v>
      </c>
      <c r="AN9" s="411">
        <f>INDEX(AN11:AN13,MATCH($D$10,Bear,0))</f>
        <v>-5.6788304737291483E-2</v>
      </c>
      <c r="AO9" s="411">
        <f>INDEX(AO11:AO13,MATCH($D$10,Bear,0))</f>
        <v>-5.4739379104258606E-2</v>
      </c>
      <c r="AP9" s="411">
        <f>INDEX(AP11:AP13,MATCH($D$10,Bear,0))</f>
        <v>-5.1767768962290475E-2</v>
      </c>
      <c r="AQ9" s="411">
        <f>INDEX(AQ11:AQ13,MATCH($D$10,Bear,0))</f>
        <v>-4.902511320096014E-2</v>
      </c>
      <c r="AR9" s="410">
        <f>AR8/AM8-1</f>
        <v>-5.3035105535468641E-2</v>
      </c>
      <c r="AS9" s="25"/>
    </row>
    <row r="10" spans="3:45" s="15" customFormat="1" outlineLevel="1">
      <c r="D10" s="23" t="s">
        <v>114</v>
      </c>
      <c r="E10" s="29"/>
      <c r="F10" s="29"/>
      <c r="G10" s="29"/>
      <c r="H10" s="29"/>
      <c r="I10" s="38"/>
      <c r="N10" s="43"/>
      <c r="S10" s="45"/>
      <c r="T10" s="44"/>
      <c r="U10" s="44"/>
      <c r="V10" s="44"/>
      <c r="W10" s="44"/>
      <c r="X10" s="45"/>
      <c r="Y10" s="44"/>
      <c r="Z10" s="44"/>
      <c r="AA10" s="44"/>
      <c r="AB10" s="44"/>
      <c r="AC10" s="45"/>
      <c r="AD10" s="44"/>
      <c r="AE10" s="44"/>
      <c r="AF10" s="44"/>
      <c r="AG10" s="44"/>
      <c r="AH10" s="45"/>
      <c r="AI10" s="44"/>
      <c r="AJ10" s="44"/>
      <c r="AK10" s="44"/>
      <c r="AL10" s="44"/>
      <c r="AM10" s="45"/>
      <c r="AN10" s="44"/>
      <c r="AO10" s="44"/>
      <c r="AP10" s="44"/>
      <c r="AQ10" s="44"/>
      <c r="AR10" s="45"/>
      <c r="AS10" s="22"/>
    </row>
    <row r="11" spans="3:45" outlineLevel="1">
      <c r="D11" s="46" t="s">
        <v>114</v>
      </c>
      <c r="E11" s="29"/>
      <c r="F11" s="29"/>
      <c r="G11" s="29"/>
      <c r="H11" s="29"/>
      <c r="I11" s="38"/>
      <c r="J11" s="405">
        <v>7.0000000000000007E-2</v>
      </c>
      <c r="K11" s="404">
        <f>K8/F8-1</f>
        <v>0.11698880976602233</v>
      </c>
      <c r="L11" s="404">
        <f>L8/G8-1</f>
        <v>-4.6712018140589562E-2</v>
      </c>
      <c r="M11" s="404">
        <f>M8/H8-1</f>
        <v>-0.14864317537464555</v>
      </c>
      <c r="N11" s="43"/>
      <c r="O11" s="404">
        <f t="shared" ref="O11" si="13">O8/J8-1</f>
        <v>-9.9045888232621504E-2</v>
      </c>
      <c r="P11" s="404">
        <f t="shared" ref="P11" si="14">P8/K8-1</f>
        <v>-0.10154826958105645</v>
      </c>
      <c r="Q11" s="404">
        <f t="shared" ref="Q11" si="15">Q8/L8-1</f>
        <v>-9.5623215984776411E-2</v>
      </c>
      <c r="R11" s="408">
        <v>-0.05</v>
      </c>
      <c r="S11" s="45"/>
      <c r="T11" s="412">
        <f>AVERAGE(O11:R11)</f>
        <v>-8.6554343449613588E-2</v>
      </c>
      <c r="U11" s="412">
        <f>AVERAGE(P11:R11,T11)</f>
        <v>-8.3431457253861613E-2</v>
      </c>
      <c r="V11" s="412">
        <f>AVERAGE(Q11:R11,T11:U11)</f>
        <v>-7.8902254172062897E-2</v>
      </c>
      <c r="W11" s="412">
        <f>AVERAGE(R11,T11:V11)</f>
        <v>-7.4722013718884525E-2</v>
      </c>
      <c r="X11" s="45"/>
      <c r="Y11" s="412">
        <f>T11*0.9</f>
        <v>-7.7898909104652234E-2</v>
      </c>
      <c r="Z11" s="412">
        <f t="shared" ref="Z11:AB11" si="16">U11*0.9</f>
        <v>-7.5088311528475449E-2</v>
      </c>
      <c r="AA11" s="412">
        <f t="shared" si="16"/>
        <v>-7.1012028754856613E-2</v>
      </c>
      <c r="AB11" s="412">
        <f t="shared" si="16"/>
        <v>-6.7249812346996077E-2</v>
      </c>
      <c r="AC11" s="45"/>
      <c r="AD11" s="412">
        <f>Y11*0.9</f>
        <v>-7.0109018194187009E-2</v>
      </c>
      <c r="AE11" s="412">
        <f t="shared" ref="AE11:AE13" si="17">Z11*0.9</f>
        <v>-6.7579480375627901E-2</v>
      </c>
      <c r="AF11" s="412">
        <f t="shared" ref="AF11:AF13" si="18">AA11*0.9</f>
        <v>-6.3910825879370955E-2</v>
      </c>
      <c r="AG11" s="412">
        <f t="shared" ref="AG11:AG13" si="19">AB11*0.9</f>
        <v>-6.0524831112296472E-2</v>
      </c>
      <c r="AH11" s="45"/>
      <c r="AI11" s="412">
        <f>AD11*0.9</f>
        <v>-6.3098116374768309E-2</v>
      </c>
      <c r="AJ11" s="412">
        <f t="shared" ref="AJ11:AJ13" si="20">AE11*0.9</f>
        <v>-6.0821532338065115E-2</v>
      </c>
      <c r="AK11" s="412">
        <f t="shared" ref="AK11:AK13" si="21">AF11*0.9</f>
        <v>-5.7519743291433861E-2</v>
      </c>
      <c r="AL11" s="412">
        <f t="shared" ref="AL11:AL13" si="22">AG11*0.9</f>
        <v>-5.4472348001066824E-2</v>
      </c>
      <c r="AM11" s="45"/>
      <c r="AN11" s="412">
        <f>AI11*0.9</f>
        <v>-5.6788304737291483E-2</v>
      </c>
      <c r="AO11" s="412">
        <f t="shared" ref="AO11:AO13" si="23">AJ11*0.9</f>
        <v>-5.4739379104258606E-2</v>
      </c>
      <c r="AP11" s="412">
        <f t="shared" ref="AP11:AP13" si="24">AK11*0.9</f>
        <v>-5.1767768962290475E-2</v>
      </c>
      <c r="AQ11" s="412">
        <f t="shared" ref="AQ11:AQ13" si="25">AL11*0.9</f>
        <v>-4.902511320096014E-2</v>
      </c>
      <c r="AR11" s="45"/>
      <c r="AS11" s="22"/>
    </row>
    <row r="12" spans="3:45" outlineLevel="1">
      <c r="D12" s="46" t="s">
        <v>115</v>
      </c>
      <c r="E12" s="29"/>
      <c r="F12" s="29"/>
      <c r="G12" s="29"/>
      <c r="H12" s="29"/>
      <c r="I12" s="38"/>
      <c r="J12" s="403">
        <f t="shared" ref="J12:M13" si="26">J11</f>
        <v>7.0000000000000007E-2</v>
      </c>
      <c r="K12" s="403">
        <f t="shared" si="26"/>
        <v>0.11698880976602233</v>
      </c>
      <c r="L12" s="403">
        <f t="shared" si="26"/>
        <v>-4.6712018140589562E-2</v>
      </c>
      <c r="M12" s="403">
        <f t="shared" si="26"/>
        <v>-0.14864317537464555</v>
      </c>
      <c r="N12" s="43"/>
      <c r="O12" s="403">
        <f t="shared" ref="O12:O13" si="27">O11</f>
        <v>-9.9045888232621504E-2</v>
      </c>
      <c r="P12" s="403">
        <f t="shared" ref="P12:P13" si="28">P11</f>
        <v>-0.10154826958105645</v>
      </c>
      <c r="Q12" s="403">
        <f t="shared" ref="Q12:Q13" si="29">Q11</f>
        <v>-9.5623215984776411E-2</v>
      </c>
      <c r="R12" s="408">
        <v>2.5000000000000001E-2</v>
      </c>
      <c r="S12" s="45"/>
      <c r="T12" s="412">
        <f t="shared" ref="T12:T13" si="30">AVERAGE(O12:R12)</f>
        <v>-6.7804343449613586E-2</v>
      </c>
      <c r="U12" s="412">
        <f t="shared" ref="U12:U13" si="31">AVERAGE(P12:R12,T12)</f>
        <v>-5.9993957253861613E-2</v>
      </c>
      <c r="V12" s="412">
        <f t="shared" ref="V12:V13" si="32">AVERAGE(Q12:R12,T12:U12)</f>
        <v>-4.9605379172062904E-2</v>
      </c>
      <c r="W12" s="412">
        <f t="shared" ref="W12:W13" si="33">AVERAGE(R12,T12:V12)</f>
        <v>-3.8100919968884525E-2</v>
      </c>
      <c r="X12" s="45"/>
      <c r="Y12" s="412">
        <f t="shared" ref="Y12:Y13" si="34">T12*0.9</f>
        <v>-6.1023909104652226E-2</v>
      </c>
      <c r="Z12" s="412">
        <f t="shared" ref="Z12:Z13" si="35">U12*0.9</f>
        <v>-5.3994561528475454E-2</v>
      </c>
      <c r="AA12" s="412">
        <f t="shared" ref="AA12:AA13" si="36">V12*0.9</f>
        <v>-4.4644841254856613E-2</v>
      </c>
      <c r="AB12" s="412">
        <f t="shared" ref="AB12:AB13" si="37">W12*0.9</f>
        <v>-3.4290827971996077E-2</v>
      </c>
      <c r="AC12" s="45"/>
      <c r="AD12" s="412">
        <f t="shared" ref="AD12:AD13" si="38">Y12*0.9</f>
        <v>-5.4921518194187002E-2</v>
      </c>
      <c r="AE12" s="412">
        <f t="shared" si="17"/>
        <v>-4.859510537562791E-2</v>
      </c>
      <c r="AF12" s="412">
        <f t="shared" si="18"/>
        <v>-4.0180357129370951E-2</v>
      </c>
      <c r="AG12" s="412">
        <f t="shared" si="19"/>
        <v>-3.0861745174796468E-2</v>
      </c>
      <c r="AH12" s="45"/>
      <c r="AI12" s="412">
        <f t="shared" ref="AI12:AI13" si="39">AD12*0.9</f>
        <v>-4.9429366374768302E-2</v>
      </c>
      <c r="AJ12" s="412">
        <f t="shared" si="20"/>
        <v>-4.373559483806512E-2</v>
      </c>
      <c r="AK12" s="412">
        <f t="shared" si="21"/>
        <v>-3.6162321416433857E-2</v>
      </c>
      <c r="AL12" s="412">
        <f t="shared" si="22"/>
        <v>-2.7775570657316822E-2</v>
      </c>
      <c r="AM12" s="45"/>
      <c r="AN12" s="412">
        <f t="shared" ref="AN12:AN13" si="40">AI12*0.9</f>
        <v>-4.4486429737291472E-2</v>
      </c>
      <c r="AO12" s="412">
        <f t="shared" si="23"/>
        <v>-3.9362035354258612E-2</v>
      </c>
      <c r="AP12" s="412">
        <f t="shared" si="24"/>
        <v>-3.2546089274790475E-2</v>
      </c>
      <c r="AQ12" s="412">
        <f t="shared" si="25"/>
        <v>-2.4998013591585141E-2</v>
      </c>
      <c r="AR12" s="45"/>
      <c r="AS12" s="22"/>
    </row>
    <row r="13" spans="3:45" outlineLevel="1">
      <c r="D13" s="46" t="s">
        <v>116</v>
      </c>
      <c r="E13" s="29"/>
      <c r="F13" s="29"/>
      <c r="G13" s="29"/>
      <c r="H13" s="29"/>
      <c r="I13" s="38"/>
      <c r="J13" s="403">
        <f t="shared" si="26"/>
        <v>7.0000000000000007E-2</v>
      </c>
      <c r="K13" s="403">
        <f t="shared" si="26"/>
        <v>0.11698880976602233</v>
      </c>
      <c r="L13" s="403">
        <f t="shared" si="26"/>
        <v>-4.6712018140589562E-2</v>
      </c>
      <c r="M13" s="403">
        <f t="shared" si="26"/>
        <v>-0.14864317537464555</v>
      </c>
      <c r="N13" s="43"/>
      <c r="O13" s="403">
        <f t="shared" si="27"/>
        <v>-9.9045888232621504E-2</v>
      </c>
      <c r="P13" s="403">
        <f t="shared" si="28"/>
        <v>-0.10154826958105645</v>
      </c>
      <c r="Q13" s="403">
        <f t="shared" si="29"/>
        <v>-9.5623215984776411E-2</v>
      </c>
      <c r="R13" s="408">
        <v>0.1</v>
      </c>
      <c r="S13" s="45"/>
      <c r="T13" s="412">
        <f t="shared" si="30"/>
        <v>-4.905434344961359E-2</v>
      </c>
      <c r="U13" s="412">
        <f t="shared" si="31"/>
        <v>-3.6556457253861613E-2</v>
      </c>
      <c r="V13" s="412">
        <f t="shared" si="32"/>
        <v>-2.0308504172062904E-2</v>
      </c>
      <c r="W13" s="412">
        <f t="shared" si="33"/>
        <v>-1.4798262188845251E-3</v>
      </c>
      <c r="X13" s="45"/>
      <c r="Y13" s="412">
        <f t="shared" si="34"/>
        <v>-4.4148909104652231E-2</v>
      </c>
      <c r="Z13" s="412">
        <f t="shared" si="35"/>
        <v>-3.2900811528475453E-2</v>
      </c>
      <c r="AA13" s="412">
        <f t="shared" si="36"/>
        <v>-1.8277653754856613E-2</v>
      </c>
      <c r="AB13" s="412">
        <f t="shared" si="37"/>
        <v>-1.3318435969960727E-3</v>
      </c>
      <c r="AC13" s="45"/>
      <c r="AD13" s="412">
        <f t="shared" si="38"/>
        <v>-3.973401819418701E-2</v>
      </c>
      <c r="AE13" s="412">
        <f t="shared" si="17"/>
        <v>-2.9610730375627909E-2</v>
      </c>
      <c r="AF13" s="412">
        <f t="shared" si="18"/>
        <v>-1.6449888379370951E-2</v>
      </c>
      <c r="AG13" s="412">
        <f t="shared" si="19"/>
        <v>-1.1986592372964654E-3</v>
      </c>
      <c r="AH13" s="45"/>
      <c r="AI13" s="412">
        <f t="shared" si="39"/>
        <v>-3.5760616374768309E-2</v>
      </c>
      <c r="AJ13" s="412">
        <f t="shared" si="20"/>
        <v>-2.6649657338065118E-2</v>
      </c>
      <c r="AK13" s="412">
        <f t="shared" si="21"/>
        <v>-1.4804899541433856E-2</v>
      </c>
      <c r="AL13" s="412">
        <f t="shared" si="22"/>
        <v>-1.078793313566819E-3</v>
      </c>
      <c r="AM13" s="45"/>
      <c r="AN13" s="412">
        <f t="shared" si="40"/>
        <v>-3.2184554737291482E-2</v>
      </c>
      <c r="AO13" s="412">
        <f t="shared" si="23"/>
        <v>-2.3984691604258607E-2</v>
      </c>
      <c r="AP13" s="412">
        <f t="shared" si="24"/>
        <v>-1.332440958729047E-2</v>
      </c>
      <c r="AQ13" s="412">
        <f t="shared" si="25"/>
        <v>-9.7091398221013712E-4</v>
      </c>
      <c r="AR13" s="45"/>
      <c r="AS13" s="22"/>
    </row>
    <row r="14" spans="3:45" outlineLevel="1">
      <c r="E14" s="28"/>
      <c r="F14" s="28"/>
      <c r="G14" s="28"/>
      <c r="H14" s="28"/>
      <c r="I14" s="37"/>
      <c r="J14" s="28"/>
      <c r="K14" s="28"/>
      <c r="L14" s="28"/>
      <c r="M14" s="28"/>
      <c r="N14" s="37"/>
      <c r="O14" s="28"/>
      <c r="P14" s="28"/>
      <c r="Q14" s="28"/>
      <c r="R14" s="33"/>
      <c r="S14" s="39"/>
      <c r="T14" s="33"/>
      <c r="U14" s="33"/>
      <c r="V14" s="33"/>
      <c r="W14" s="33"/>
      <c r="X14" s="39"/>
      <c r="Y14" s="33"/>
      <c r="Z14" s="33"/>
      <c r="AA14" s="33"/>
      <c r="AB14" s="33"/>
      <c r="AC14" s="39"/>
      <c r="AD14" s="33"/>
      <c r="AE14" s="33"/>
      <c r="AF14" s="33"/>
      <c r="AG14" s="33"/>
      <c r="AH14" s="39"/>
      <c r="AI14" s="33"/>
      <c r="AJ14" s="33"/>
      <c r="AK14" s="33"/>
      <c r="AL14" s="33"/>
      <c r="AM14" s="39"/>
      <c r="AN14" s="33"/>
      <c r="AO14" s="33"/>
      <c r="AP14" s="33"/>
      <c r="AQ14" s="33"/>
      <c r="AR14" s="39"/>
      <c r="AS14" s="21"/>
    </row>
    <row r="15" spans="3:45" outlineLevel="1">
      <c r="E15" s="28"/>
      <c r="F15" s="28"/>
      <c r="G15" s="28"/>
      <c r="H15" s="28"/>
      <c r="I15" s="37"/>
      <c r="J15" s="28"/>
      <c r="K15" s="28"/>
      <c r="L15" s="28"/>
      <c r="M15" s="28"/>
      <c r="N15" s="37"/>
      <c r="O15" s="28"/>
      <c r="P15" s="28"/>
      <c r="Q15" s="28"/>
      <c r="R15" s="33"/>
      <c r="S15" s="39"/>
      <c r="T15" s="33"/>
      <c r="U15" s="33"/>
      <c r="V15" s="33"/>
      <c r="W15" s="33"/>
      <c r="X15" s="39"/>
      <c r="Y15" s="33"/>
      <c r="Z15" s="33"/>
      <c r="AA15" s="33"/>
      <c r="AB15" s="33"/>
      <c r="AC15" s="39"/>
      <c r="AD15" s="33"/>
      <c r="AE15" s="33"/>
      <c r="AF15" s="33"/>
      <c r="AG15" s="33"/>
      <c r="AH15" s="39"/>
      <c r="AI15" s="33"/>
      <c r="AJ15" s="33"/>
      <c r="AK15" s="33"/>
      <c r="AL15" s="33"/>
      <c r="AM15" s="39"/>
      <c r="AN15" s="33"/>
      <c r="AO15" s="33"/>
      <c r="AP15" s="33"/>
      <c r="AQ15" s="33"/>
      <c r="AR15" s="39"/>
      <c r="AS15" s="21"/>
    </row>
    <row r="16" spans="3:45" s="9" customFormat="1" outlineLevel="1">
      <c r="D16" s="11" t="s">
        <v>113</v>
      </c>
      <c r="E16" s="11">
        <v>1861</v>
      </c>
      <c r="F16" s="11">
        <v>1565</v>
      </c>
      <c r="G16" s="11">
        <v>2011</v>
      </c>
      <c r="H16" s="11">
        <v>2058</v>
      </c>
      <c r="I16" s="50">
        <f>SUM(E16:H16)</f>
        <v>7495</v>
      </c>
      <c r="J16" s="11">
        <v>1364</v>
      </c>
      <c r="K16" s="11">
        <v>1314</v>
      </c>
      <c r="L16" s="11">
        <v>1665</v>
      </c>
      <c r="M16" s="11">
        <v>1849</v>
      </c>
      <c r="N16" s="50">
        <f>SUM(J16:M16)</f>
        <v>6192</v>
      </c>
      <c r="O16" s="11">
        <v>1535</v>
      </c>
      <c r="P16" s="11">
        <v>1512</v>
      </c>
      <c r="Q16" s="11">
        <v>1755</v>
      </c>
      <c r="R16" s="11">
        <f>M16*(1+R17)</f>
        <v>1849</v>
      </c>
      <c r="S16" s="50">
        <f>SUM(O16:R16)</f>
        <v>6651</v>
      </c>
      <c r="T16" s="11">
        <f>O16*(1+T17)</f>
        <v>1661.6780065301111</v>
      </c>
      <c r="U16" s="11">
        <f t="shared" ref="U16:W16" si="41">P16*(1+U17)</f>
        <v>1620.5863114399901</v>
      </c>
      <c r="V16" s="11">
        <f t="shared" si="41"/>
        <v>1846.4340899531412</v>
      </c>
      <c r="W16" s="11">
        <f t="shared" si="41"/>
        <v>1944.4277815500934</v>
      </c>
      <c r="X16" s="50">
        <f>SUM(T16:W16)</f>
        <v>7073.1261894733361</v>
      </c>
      <c r="Y16" s="11">
        <f>T16*(1+Y17)</f>
        <v>1785.0970629639526</v>
      </c>
      <c r="Z16" s="11">
        <f t="shared" ref="Z16" si="42">U16*(1+Z17)</f>
        <v>1725.3324363979707</v>
      </c>
      <c r="AA16" s="11">
        <f t="shared" ref="AA16" si="43">V16*(1+AA17)</f>
        <v>1933.0120492727935</v>
      </c>
      <c r="AB16" s="11">
        <f t="shared" ref="AB16" si="44">W16*(1+AB17)</f>
        <v>2034.745351382395</v>
      </c>
      <c r="AC16" s="50">
        <f>SUM(Y16:AB16)</f>
        <v>7478.1869000171118</v>
      </c>
      <c r="AD16" s="11">
        <f>Y16*(1+AD17)</f>
        <v>1904.4243302559485</v>
      </c>
      <c r="AE16" s="11">
        <f t="shared" ref="AE16" si="45">Z16*(1+AE17)</f>
        <v>1825.6971606530922</v>
      </c>
      <c r="AF16" s="11">
        <f t="shared" ref="AF16" si="46">AA16*(1+AF17)</f>
        <v>2014.5858327775848</v>
      </c>
      <c r="AG16" s="11">
        <f t="shared" ref="AG16" si="47">AB16*(1+AG17)</f>
        <v>2119.8068442274184</v>
      </c>
      <c r="AH16" s="50">
        <f>SUM(AD16:AG16)</f>
        <v>7864.5141679140434</v>
      </c>
      <c r="AI16" s="11">
        <f>AD16*(1+AI17)</f>
        <v>2018.9978065266776</v>
      </c>
      <c r="AJ16" s="11">
        <f t="shared" ref="AJ16" si="48">AE16*(1+AJ17)</f>
        <v>1921.279918742523</v>
      </c>
      <c r="AK16" s="11">
        <f t="shared" ref="AK16" si="49">AF16*(1+AK17)</f>
        <v>2091.1004358670889</v>
      </c>
      <c r="AL16" s="11">
        <f t="shared" ref="AL16" si="50">AG16*(1+AL17)</f>
        <v>2199.5625449255522</v>
      </c>
      <c r="AM16" s="50">
        <f>SUM(AI16:AL16)</f>
        <v>8230.9407060618414</v>
      </c>
      <c r="AN16" s="11">
        <f>AI16*(1+AN17)</f>
        <v>2128.3175806135191</v>
      </c>
      <c r="AO16" s="11">
        <f t="shared" ref="AO16" si="51">AJ16*(1+AO17)</f>
        <v>2011.8081366133333</v>
      </c>
      <c r="AP16" s="11">
        <f t="shared" ref="AP16" si="52">AK16*(1+AP17)</f>
        <v>2162.579022453323</v>
      </c>
      <c r="AQ16" s="11">
        <f t="shared" ref="AQ16" si="53">AL16*(1+AQ17)</f>
        <v>2274.0433341681492</v>
      </c>
      <c r="AR16" s="50">
        <f>SUM(AN16:AQ16)</f>
        <v>8576.7480738483246</v>
      </c>
      <c r="AS16" s="20"/>
    </row>
    <row r="17" spans="4:45" outlineLevel="1">
      <c r="E17" s="28"/>
      <c r="F17" s="28"/>
      <c r="G17" s="28"/>
      <c r="H17" s="28"/>
      <c r="I17" s="37"/>
      <c r="J17" s="407">
        <f>INDEX(J19:J21,MATCH($D$18,CTGbearrev,0))</f>
        <v>-0.27</v>
      </c>
      <c r="K17" s="407">
        <f>INDEX(K19:K21,MATCH($D$18,CTGbearrev,0))</f>
        <v>-0.16038338658146967</v>
      </c>
      <c r="L17" s="407">
        <f>INDEX(L19:L21,MATCH($D$18,CTGbearrev,0))</f>
        <v>-0.17205370462456493</v>
      </c>
      <c r="M17" s="407">
        <f>INDEX(M19:M21,MATCH($D$18,CTGbearrev,0))</f>
        <v>-0.10155490767735664</v>
      </c>
      <c r="N17" s="400">
        <f>N16/I16-1</f>
        <v>-0.17384923282188125</v>
      </c>
      <c r="O17" s="406">
        <f>INDEX(O19:O21,MATCH($D$18,CTGbearrev,0))</f>
        <v>0.12536656891495612</v>
      </c>
      <c r="P17" s="406">
        <f>INDEX(P19:P21,MATCH($D$18,CTGbearrev,0))</f>
        <v>0.15068493150684925</v>
      </c>
      <c r="Q17" s="406">
        <f>INDEX(Q19:Q21,MATCH($D$18,CTGbearrev,0))</f>
        <v>5.4054054054053946E-2</v>
      </c>
      <c r="R17" s="409">
        <f>INDEX(R19:R21,MATCH($D$18,CTGbearrev,0))</f>
        <v>0</v>
      </c>
      <c r="S17" s="410">
        <f>S16/N16-1</f>
        <v>7.4127906976744207E-2</v>
      </c>
      <c r="T17" s="411">
        <f>INDEX(T19:T21,MATCH($D$18,CTGbearrev,0))</f>
        <v>8.252638861896483E-2</v>
      </c>
      <c r="U17" s="411">
        <f>INDEX(U19:U21,MATCH($D$18,CTGbearrev,0))</f>
        <v>7.1816343544967007E-2</v>
      </c>
      <c r="V17" s="411">
        <f>INDEX(V19:V21,MATCH($D$18,CTGbearrev,0))</f>
        <v>5.2099196554496449E-2</v>
      </c>
      <c r="W17" s="411">
        <f>INDEX(W19:W21,MATCH($D$18,CTGbearrev,0))</f>
        <v>5.1610482179607078E-2</v>
      </c>
      <c r="X17" s="410">
        <f>X16/S16-1</f>
        <v>6.3468078405252815E-2</v>
      </c>
      <c r="Y17" s="411">
        <f>INDEX(Y19:Y21,MATCH($D$18,CTGbearrev,0))</f>
        <v>7.4273749757068352E-2</v>
      </c>
      <c r="Z17" s="411">
        <f>INDEX(Z19:Z21,MATCH($D$18,CTGbearrev,0))</f>
        <v>6.4634709190470305E-2</v>
      </c>
      <c r="AA17" s="411">
        <f>INDEX(AA19:AA21,MATCH($D$18,CTGbearrev,0))</f>
        <v>4.6889276899046803E-2</v>
      </c>
      <c r="AB17" s="411">
        <f>INDEX(AB19:AB21,MATCH($D$18,CTGbearrev,0))</f>
        <v>4.6449433961646372E-2</v>
      </c>
      <c r="AC17" s="410">
        <f>AC16/X16-1</f>
        <v>5.7267564538380888E-2</v>
      </c>
      <c r="AD17" s="411">
        <f>INDEX(AD19:AD21,MATCH($D$18,CTGbearrev,0))</f>
        <v>6.6846374781361517E-2</v>
      </c>
      <c r="AE17" s="411">
        <f>INDEX(AE19:AE21,MATCH($D$18,CTGbearrev,0))</f>
        <v>5.8171238271423273E-2</v>
      </c>
      <c r="AF17" s="411">
        <f>INDEX(AF19:AF21,MATCH($D$18,CTGbearrev,0))</f>
        <v>4.2200349209142125E-2</v>
      </c>
      <c r="AG17" s="411">
        <f>INDEX(AG19:AG21,MATCH($D$18,CTGbearrev,0))</f>
        <v>4.1804490565481738E-2</v>
      </c>
      <c r="AH17" s="410">
        <f>AH16/AC16-1</f>
        <v>5.1660552626205059E-2</v>
      </c>
      <c r="AI17" s="411">
        <f>INDEX(AI19:AI21,MATCH($D$18,CTGbearrev,0))</f>
        <v>6.0161737303225368E-2</v>
      </c>
      <c r="AJ17" s="411">
        <f>INDEX(AJ19:AJ21,MATCH($D$18,CTGbearrev,0))</f>
        <v>5.2354114444280946E-2</v>
      </c>
      <c r="AK17" s="411">
        <f>INDEX(AK19:AK21,MATCH($D$18,CTGbearrev,0))</f>
        <v>3.7980314288227915E-2</v>
      </c>
      <c r="AL17" s="411">
        <f>INDEX(AL19:AL21,MATCH($D$18,CTGbearrev,0))</f>
        <v>3.7624041508933566E-2</v>
      </c>
      <c r="AM17" s="410">
        <f>AM16/AH16-1</f>
        <v>4.6592393417353106E-2</v>
      </c>
      <c r="AN17" s="411">
        <f>INDEX(AN19:AN21,MATCH($D$18,CTGbearrev,0))</f>
        <v>5.414556357290283E-2</v>
      </c>
      <c r="AO17" s="411">
        <f>INDEX(AO19:AO21,MATCH($D$18,CTGbearrev,0))</f>
        <v>4.7118702999852852E-2</v>
      </c>
      <c r="AP17" s="411">
        <f>INDEX(AP19:AP21,MATCH($D$18,CTGbearrev,0))</f>
        <v>3.4182282859405125E-2</v>
      </c>
      <c r="AQ17" s="411">
        <f>INDEX(AQ19:AQ21,MATCH($D$18,CTGbearrev,0))</f>
        <v>3.3861637358040209E-2</v>
      </c>
      <c r="AR17" s="410">
        <f>AR16/AM16-1</f>
        <v>4.201310398601299E-2</v>
      </c>
      <c r="AS17" s="21"/>
    </row>
    <row r="18" spans="4:45" s="15" customFormat="1" outlineLevel="1">
      <c r="D18" s="23" t="s">
        <v>114</v>
      </c>
      <c r="E18" s="29"/>
      <c r="F18" s="29"/>
      <c r="G18" s="29"/>
      <c r="H18" s="29"/>
      <c r="I18" s="38"/>
      <c r="J18" s="30"/>
      <c r="K18" s="30"/>
      <c r="L18" s="30"/>
      <c r="M18" s="30"/>
      <c r="N18" s="43"/>
      <c r="S18" s="45"/>
      <c r="T18" s="44"/>
      <c r="U18" s="44"/>
      <c r="V18" s="44"/>
      <c r="W18" s="44"/>
      <c r="X18" s="45"/>
      <c r="Y18" s="44"/>
      <c r="Z18" s="44"/>
      <c r="AA18" s="44"/>
      <c r="AB18" s="44"/>
      <c r="AC18" s="45"/>
      <c r="AD18" s="44"/>
      <c r="AE18" s="44"/>
      <c r="AF18" s="44"/>
      <c r="AG18" s="44"/>
      <c r="AH18" s="45"/>
      <c r="AI18" s="44"/>
      <c r="AJ18" s="44"/>
      <c r="AK18" s="44"/>
      <c r="AL18" s="44"/>
      <c r="AM18" s="45"/>
      <c r="AN18" s="44"/>
      <c r="AO18" s="44"/>
      <c r="AP18" s="44"/>
      <c r="AQ18" s="44"/>
      <c r="AR18" s="45"/>
      <c r="AS18" s="22"/>
    </row>
    <row r="19" spans="4:45" s="15" customFormat="1" outlineLevel="1">
      <c r="D19" s="47" t="s">
        <v>114</v>
      </c>
      <c r="E19" s="29"/>
      <c r="F19" s="29"/>
      <c r="G19" s="29"/>
      <c r="H19" s="29"/>
      <c r="I19" s="38"/>
      <c r="J19" s="405">
        <v>-0.27</v>
      </c>
      <c r="K19" s="404">
        <f>K16/F16-1</f>
        <v>-0.16038338658146967</v>
      </c>
      <c r="L19" s="404">
        <f>L16/G16-1</f>
        <v>-0.17205370462456493</v>
      </c>
      <c r="M19" s="404">
        <f>M16/H16-1</f>
        <v>-0.10155490767735664</v>
      </c>
      <c r="N19" s="43"/>
      <c r="O19" s="404">
        <f t="shared" ref="O19" si="54">O16/J16-1</f>
        <v>0.12536656891495612</v>
      </c>
      <c r="P19" s="404">
        <f t="shared" ref="P19" si="55">P16/K16-1</f>
        <v>0.15068493150684925</v>
      </c>
      <c r="Q19" s="404">
        <f t="shared" ref="Q19" si="56">Q16/L16-1</f>
        <v>5.4054054054053946E-2</v>
      </c>
      <c r="R19" s="408">
        <v>0</v>
      </c>
      <c r="S19" s="45"/>
      <c r="T19" s="412">
        <f>AVERAGE(O19:R19)</f>
        <v>8.252638861896483E-2</v>
      </c>
      <c r="U19" s="412">
        <f>AVERAGE(P19:R19,T19)</f>
        <v>7.1816343544967007E-2</v>
      </c>
      <c r="V19" s="412">
        <f>AVERAGE(Q19:R19,T19:U19)</f>
        <v>5.2099196554496449E-2</v>
      </c>
      <c r="W19" s="412">
        <f>AVERAGE(R19,T19:V19)</f>
        <v>5.1610482179607078E-2</v>
      </c>
      <c r="X19" s="45"/>
      <c r="Y19" s="412">
        <f>T19*0.9</f>
        <v>7.4273749757068352E-2</v>
      </c>
      <c r="Z19" s="412">
        <f t="shared" ref="Z19:Z21" si="57">U19*0.9</f>
        <v>6.4634709190470305E-2</v>
      </c>
      <c r="AA19" s="412">
        <f t="shared" ref="AA19:AA21" si="58">V19*0.9</f>
        <v>4.6889276899046803E-2</v>
      </c>
      <c r="AB19" s="412">
        <f t="shared" ref="AB19:AB21" si="59">W19*0.9</f>
        <v>4.6449433961646372E-2</v>
      </c>
      <c r="AC19" s="45"/>
      <c r="AD19" s="412">
        <f>Y19*0.9</f>
        <v>6.6846374781361517E-2</v>
      </c>
      <c r="AE19" s="412">
        <f t="shared" ref="AE19:AE21" si="60">Z19*0.9</f>
        <v>5.8171238271423273E-2</v>
      </c>
      <c r="AF19" s="412">
        <f t="shared" ref="AF19:AF21" si="61">AA19*0.9</f>
        <v>4.2200349209142125E-2</v>
      </c>
      <c r="AG19" s="412">
        <f t="shared" ref="AG19:AG21" si="62">AB19*0.9</f>
        <v>4.1804490565481738E-2</v>
      </c>
      <c r="AH19" s="45"/>
      <c r="AI19" s="412">
        <f>AD19*0.9</f>
        <v>6.0161737303225368E-2</v>
      </c>
      <c r="AJ19" s="412">
        <f t="shared" ref="AJ19:AJ21" si="63">AE19*0.9</f>
        <v>5.2354114444280946E-2</v>
      </c>
      <c r="AK19" s="412">
        <f t="shared" ref="AK19:AK21" si="64">AF19*0.9</f>
        <v>3.7980314288227915E-2</v>
      </c>
      <c r="AL19" s="412">
        <f t="shared" ref="AL19:AL21" si="65">AG19*0.9</f>
        <v>3.7624041508933566E-2</v>
      </c>
      <c r="AM19" s="45"/>
      <c r="AN19" s="412">
        <f>AI19*0.9</f>
        <v>5.414556357290283E-2</v>
      </c>
      <c r="AO19" s="412">
        <f t="shared" ref="AO19:AO21" si="66">AJ19*0.9</f>
        <v>4.7118702999852852E-2</v>
      </c>
      <c r="AP19" s="412">
        <f t="shared" ref="AP19:AP21" si="67">AK19*0.9</f>
        <v>3.4182282859405125E-2</v>
      </c>
      <c r="AQ19" s="412">
        <f t="shared" ref="AQ19:AQ21" si="68">AL19*0.9</f>
        <v>3.3861637358040209E-2</v>
      </c>
      <c r="AR19" s="45"/>
      <c r="AS19" s="22"/>
    </row>
    <row r="20" spans="4:45" s="15" customFormat="1" outlineLevel="1">
      <c r="D20" s="47" t="s">
        <v>115</v>
      </c>
      <c r="E20" s="29"/>
      <c r="F20" s="29"/>
      <c r="G20" s="29"/>
      <c r="H20" s="29"/>
      <c r="I20" s="38"/>
      <c r="J20" s="403">
        <v>-0.27</v>
      </c>
      <c r="K20" s="403">
        <v>-0.16039999999999999</v>
      </c>
      <c r="L20" s="403">
        <f>L19</f>
        <v>-0.17205370462456493</v>
      </c>
      <c r="M20" s="403">
        <f>M19</f>
        <v>-0.10155490767735664</v>
      </c>
      <c r="N20" s="43"/>
      <c r="O20" s="403">
        <f t="shared" ref="O20:O21" si="69">O19</f>
        <v>0.12536656891495612</v>
      </c>
      <c r="P20" s="403">
        <f t="shared" ref="P20:P21" si="70">P19</f>
        <v>0.15068493150684925</v>
      </c>
      <c r="Q20" s="403">
        <f t="shared" ref="Q20:Q21" si="71">Q19</f>
        <v>5.4054054054053946E-2</v>
      </c>
      <c r="R20" s="408">
        <v>0.05</v>
      </c>
      <c r="S20" s="45"/>
      <c r="T20" s="412">
        <f t="shared" ref="T20:T21" si="72">AVERAGE(O20:R20)</f>
        <v>9.5026388618964827E-2</v>
      </c>
      <c r="U20" s="412">
        <f t="shared" ref="U20:U21" si="73">AVERAGE(P20:R20,T20)</f>
        <v>8.7441343544967007E-2</v>
      </c>
      <c r="V20" s="412">
        <f t="shared" ref="V20:V21" si="74">AVERAGE(Q20:R20,T20:U20)</f>
        <v>7.1630446554496449E-2</v>
      </c>
      <c r="W20" s="412">
        <f t="shared" ref="W20:W21" si="75">AVERAGE(R20,T20:V20)</f>
        <v>7.6024544679607078E-2</v>
      </c>
      <c r="X20" s="45"/>
      <c r="Y20" s="412">
        <f t="shared" ref="Y20:Y21" si="76">T20*0.9</f>
        <v>8.5523749757068349E-2</v>
      </c>
      <c r="Z20" s="412">
        <f t="shared" si="57"/>
        <v>7.869720919047031E-2</v>
      </c>
      <c r="AA20" s="412">
        <f t="shared" si="58"/>
        <v>6.4467401899046803E-2</v>
      </c>
      <c r="AB20" s="412">
        <f t="shared" si="59"/>
        <v>6.8422090211646372E-2</v>
      </c>
      <c r="AC20" s="45"/>
      <c r="AD20" s="412">
        <f t="shared" ref="AD20:AD21" si="77">Y20*0.9</f>
        <v>7.6971374781361512E-2</v>
      </c>
      <c r="AE20" s="412">
        <f t="shared" si="60"/>
        <v>7.0827488271423281E-2</v>
      </c>
      <c r="AF20" s="412">
        <f t="shared" si="61"/>
        <v>5.8020661709142121E-2</v>
      </c>
      <c r="AG20" s="412">
        <f t="shared" si="62"/>
        <v>6.1579881190481738E-2</v>
      </c>
      <c r="AH20" s="45"/>
      <c r="AI20" s="412">
        <f t="shared" ref="AI20:AI21" si="78">AD20*0.9</f>
        <v>6.9274237303225364E-2</v>
      </c>
      <c r="AJ20" s="412">
        <f t="shared" si="63"/>
        <v>6.3744739444280954E-2</v>
      </c>
      <c r="AK20" s="412">
        <f t="shared" si="64"/>
        <v>5.2218595538227913E-2</v>
      </c>
      <c r="AL20" s="412">
        <f t="shared" si="65"/>
        <v>5.5421893071433567E-2</v>
      </c>
      <c r="AM20" s="45"/>
      <c r="AN20" s="412">
        <f t="shared" ref="AN20:AN21" si="79">AI20*0.9</f>
        <v>6.234681357290283E-2</v>
      </c>
      <c r="AO20" s="412">
        <f t="shared" si="66"/>
        <v>5.7370265499852857E-2</v>
      </c>
      <c r="AP20" s="412">
        <f t="shared" si="67"/>
        <v>4.6996735984405125E-2</v>
      </c>
      <c r="AQ20" s="412">
        <f t="shared" si="68"/>
        <v>4.9879703764290212E-2</v>
      </c>
      <c r="AR20" s="45"/>
      <c r="AS20" s="22"/>
    </row>
    <row r="21" spans="4:45" s="15" customFormat="1" outlineLevel="1">
      <c r="D21" s="47" t="s">
        <v>116</v>
      </c>
      <c r="E21" s="29"/>
      <c r="F21" s="29"/>
      <c r="G21" s="29"/>
      <c r="H21" s="29"/>
      <c r="I21" s="38"/>
      <c r="J21" s="403">
        <v>-0.27</v>
      </c>
      <c r="K21" s="403">
        <v>-0.16039999999999999</v>
      </c>
      <c r="L21" s="403">
        <f>L20</f>
        <v>-0.17205370462456493</v>
      </c>
      <c r="M21" s="403">
        <f>M20</f>
        <v>-0.10155490767735664</v>
      </c>
      <c r="N21" s="43"/>
      <c r="O21" s="403">
        <f t="shared" si="69"/>
        <v>0.12536656891495612</v>
      </c>
      <c r="P21" s="403">
        <f t="shared" si="70"/>
        <v>0.15068493150684925</v>
      </c>
      <c r="Q21" s="403">
        <f t="shared" si="71"/>
        <v>5.4054054054053946E-2</v>
      </c>
      <c r="R21" s="408">
        <v>0.1</v>
      </c>
      <c r="S21" s="45"/>
      <c r="T21" s="412">
        <f t="shared" si="72"/>
        <v>0.10752638861896482</v>
      </c>
      <c r="U21" s="412">
        <f t="shared" si="73"/>
        <v>0.10306634354496699</v>
      </c>
      <c r="V21" s="412">
        <f t="shared" si="74"/>
        <v>9.1161696554496435E-2</v>
      </c>
      <c r="W21" s="412">
        <f t="shared" si="75"/>
        <v>0.10043860717960706</v>
      </c>
      <c r="X21" s="45"/>
      <c r="Y21" s="412">
        <f t="shared" si="76"/>
        <v>9.6773749757068345E-2</v>
      </c>
      <c r="Z21" s="412">
        <f t="shared" si="57"/>
        <v>9.2759709190470302E-2</v>
      </c>
      <c r="AA21" s="412">
        <f t="shared" si="58"/>
        <v>8.2045526899046789E-2</v>
      </c>
      <c r="AB21" s="412">
        <f t="shared" si="59"/>
        <v>9.0394746461646358E-2</v>
      </c>
      <c r="AC21" s="45"/>
      <c r="AD21" s="412">
        <f t="shared" si="77"/>
        <v>8.7096374781361507E-2</v>
      </c>
      <c r="AE21" s="412">
        <f t="shared" si="60"/>
        <v>8.3483738271423275E-2</v>
      </c>
      <c r="AF21" s="412">
        <f t="shared" si="61"/>
        <v>7.384097420914211E-2</v>
      </c>
      <c r="AG21" s="412">
        <f t="shared" si="62"/>
        <v>8.1355271815481731E-2</v>
      </c>
      <c r="AH21" s="45"/>
      <c r="AI21" s="412">
        <f t="shared" si="78"/>
        <v>7.8386737303225359E-2</v>
      </c>
      <c r="AJ21" s="412">
        <f t="shared" si="63"/>
        <v>7.5135364444280955E-2</v>
      </c>
      <c r="AK21" s="412">
        <f t="shared" si="64"/>
        <v>6.6456876788227898E-2</v>
      </c>
      <c r="AL21" s="412">
        <f t="shared" si="65"/>
        <v>7.3219744633933562E-2</v>
      </c>
      <c r="AM21" s="45"/>
      <c r="AN21" s="412">
        <f t="shared" si="79"/>
        <v>7.054806357290283E-2</v>
      </c>
      <c r="AO21" s="412">
        <f t="shared" si="66"/>
        <v>6.7621827999852863E-2</v>
      </c>
      <c r="AP21" s="412">
        <f t="shared" si="67"/>
        <v>5.9811189109405111E-2</v>
      </c>
      <c r="AQ21" s="412">
        <f t="shared" si="68"/>
        <v>6.5897770170540201E-2</v>
      </c>
      <c r="AR21" s="45"/>
      <c r="AS21" s="22"/>
    </row>
    <row r="22" spans="4:45" outlineLevel="1">
      <c r="D22" s="6"/>
      <c r="E22" s="28"/>
      <c r="F22" s="28"/>
      <c r="G22" s="28"/>
      <c r="H22" s="28"/>
      <c r="I22" s="37"/>
      <c r="J22" s="28"/>
      <c r="K22" s="28"/>
      <c r="L22" s="28"/>
      <c r="M22" s="28"/>
      <c r="N22" s="37"/>
      <c r="O22" s="28"/>
      <c r="P22" s="28"/>
      <c r="Q22" s="28"/>
      <c r="R22" s="33"/>
      <c r="S22" s="39"/>
      <c r="T22" s="33"/>
      <c r="U22" s="33"/>
      <c r="V22" s="33"/>
      <c r="W22" s="33"/>
      <c r="X22" s="39"/>
      <c r="Y22" s="33"/>
      <c r="Z22" s="33"/>
      <c r="AA22" s="33"/>
      <c r="AB22" s="33"/>
      <c r="AC22" s="39"/>
      <c r="AD22" s="33"/>
      <c r="AE22" s="33"/>
      <c r="AF22" s="33"/>
      <c r="AG22" s="33"/>
      <c r="AH22" s="39"/>
      <c r="AI22" s="33"/>
      <c r="AJ22" s="33"/>
      <c r="AK22" s="33"/>
      <c r="AL22" s="33"/>
      <c r="AM22" s="39"/>
      <c r="AN22" s="33"/>
      <c r="AO22" s="33"/>
      <c r="AP22" s="33"/>
      <c r="AQ22" s="33"/>
      <c r="AR22" s="39"/>
      <c r="AS22" s="21"/>
    </row>
    <row r="23" spans="4:45" outlineLevel="1">
      <c r="E23" s="28"/>
      <c r="F23" s="28"/>
      <c r="G23" s="28"/>
      <c r="H23" s="28"/>
      <c r="I23" s="37"/>
      <c r="J23" s="28"/>
      <c r="K23" s="28"/>
      <c r="L23" s="28"/>
      <c r="M23" s="28"/>
      <c r="N23" s="37"/>
      <c r="O23" s="28"/>
      <c r="P23" s="28"/>
      <c r="Q23" s="28"/>
      <c r="R23" s="33"/>
      <c r="S23" s="39"/>
      <c r="T23" s="33"/>
      <c r="U23" s="33"/>
      <c r="V23" s="33"/>
      <c r="W23" s="33"/>
      <c r="X23" s="39"/>
      <c r="Y23" s="33"/>
      <c r="Z23" s="33"/>
      <c r="AA23" s="33"/>
      <c r="AB23" s="33"/>
      <c r="AC23" s="39"/>
      <c r="AD23" s="33"/>
      <c r="AE23" s="33"/>
      <c r="AF23" s="33"/>
      <c r="AG23" s="33"/>
      <c r="AH23" s="39"/>
      <c r="AI23" s="33"/>
      <c r="AJ23" s="33"/>
      <c r="AK23" s="33"/>
      <c r="AL23" s="33"/>
      <c r="AM23" s="39"/>
      <c r="AN23" s="33"/>
      <c r="AO23" s="33"/>
      <c r="AP23" s="33"/>
      <c r="AQ23" s="33"/>
      <c r="AR23" s="39"/>
      <c r="AS23" s="21"/>
    </row>
    <row r="24" spans="4:45" s="9" customFormat="1" outlineLevel="1">
      <c r="D24" s="12" t="s">
        <v>117</v>
      </c>
      <c r="E24" s="12">
        <v>1132</v>
      </c>
      <c r="F24" s="12">
        <v>1130</v>
      </c>
      <c r="G24" s="12">
        <v>1146</v>
      </c>
      <c r="H24" s="12">
        <v>1214</v>
      </c>
      <c r="I24" s="51">
        <f>SUM(E24:H24)</f>
        <v>4622</v>
      </c>
      <c r="J24" s="12">
        <v>1190</v>
      </c>
      <c r="K24" s="12">
        <v>1289</v>
      </c>
      <c r="L24" s="12">
        <v>1243</v>
      </c>
      <c r="M24" s="12">
        <v>1141</v>
      </c>
      <c r="N24" s="51">
        <f>SUM(J24:M24)</f>
        <v>4863</v>
      </c>
      <c r="O24" s="12">
        <v>1296</v>
      </c>
      <c r="P24" s="12">
        <v>1391</v>
      </c>
      <c r="Q24" s="12">
        <v>1454</v>
      </c>
      <c r="R24" s="12">
        <f>M24*(1+R25)</f>
        <v>1483.3</v>
      </c>
      <c r="S24" s="51">
        <f>SUM(O24:R24)</f>
        <v>5624.3</v>
      </c>
      <c r="T24" s="12">
        <f>O24*(1+T25)</f>
        <v>1502.6981791378789</v>
      </c>
      <c r="U24" s="12">
        <f t="shared" ref="U24:W24" si="80">P24*(1+U25)</f>
        <v>1637.3360321230318</v>
      </c>
      <c r="V24" s="12">
        <f t="shared" si="80"/>
        <v>1747.1019369093196</v>
      </c>
      <c r="W24" s="12">
        <f t="shared" si="80"/>
        <v>1794.1126374346059</v>
      </c>
      <c r="X24" s="51">
        <f>SUM(T24:W24)</f>
        <v>6681.2487856048356</v>
      </c>
      <c r="Y24" s="12">
        <f>T24*(1+Y25)</f>
        <v>1718.3960801251051</v>
      </c>
      <c r="Z24" s="12">
        <f t="shared" ref="Z24" si="81">U24*(1+Z25)</f>
        <v>1898.3003565405236</v>
      </c>
      <c r="AA24" s="12">
        <f t="shared" ref="AA24" si="82">V24*(1+AA25)</f>
        <v>2064.0696573477867</v>
      </c>
      <c r="AB24" s="12">
        <f t="shared" ref="AB24" si="83">W24*(1+AB25)</f>
        <v>2132.4592919389042</v>
      </c>
      <c r="AC24" s="51">
        <f>SUM(Y24:AB24)</f>
        <v>7813.2253859523198</v>
      </c>
      <c r="AD24" s="12">
        <f>Y24*(1+AD25)</f>
        <v>1940.3894181248102</v>
      </c>
      <c r="AE24" s="12">
        <f t="shared" ref="AE24" si="84">Z24*(1+AE25)</f>
        <v>2170.6023118693679</v>
      </c>
      <c r="AF24" s="12">
        <f t="shared" ref="AF24" si="85">AA24*(1+AF25)</f>
        <v>2401.0958469848965</v>
      </c>
      <c r="AG24" s="12">
        <f t="shared" ref="AG24" si="86">AB24*(1+AG25)</f>
        <v>2494.3983402548652</v>
      </c>
      <c r="AH24" s="51">
        <f>SUM(AD24:AG24)</f>
        <v>9006.4859172339402</v>
      </c>
      <c r="AI24" s="12">
        <f>AD24*(1+AI25)</f>
        <v>2165.9940828687636</v>
      </c>
      <c r="AJ24" s="12">
        <f t="shared" ref="AJ24" si="87">AE24*(1+AJ25)</f>
        <v>2450.8284239038412</v>
      </c>
      <c r="AK24" s="12">
        <f t="shared" ref="AK24" si="88">AF24*(1+AK25)</f>
        <v>2753.9468097631407</v>
      </c>
      <c r="AL24" s="12">
        <f t="shared" ref="AL24" si="89">AG24*(1+AL25)</f>
        <v>2875.4317078436529</v>
      </c>
      <c r="AM24" s="51">
        <f>SUM(AI24:AL24)</f>
        <v>10246.201024379399</v>
      </c>
      <c r="AN24" s="12">
        <f>AI24*(1+AN25)</f>
        <v>2392.645768300913</v>
      </c>
      <c r="AO24" s="12">
        <f t="shared" ref="AO24" si="90">AJ24*(1+AO25)</f>
        <v>2735.5915539644584</v>
      </c>
      <c r="AP24" s="12">
        <f t="shared" ref="AP24" si="91">AK24*(1+AP25)</f>
        <v>3118.1802934188227</v>
      </c>
      <c r="AQ24" s="12">
        <f t="shared" ref="AQ24" si="92">AL24*(1+AQ25)</f>
        <v>3270.7462285065276</v>
      </c>
      <c r="AR24" s="51">
        <f>SUM(AN24:AQ24)</f>
        <v>11517.16384419072</v>
      </c>
      <c r="AS24" s="20"/>
    </row>
    <row r="25" spans="4:45" outlineLevel="1">
      <c r="E25" s="28"/>
      <c r="F25" s="28"/>
      <c r="G25" s="28"/>
      <c r="H25" s="28"/>
      <c r="I25" s="37"/>
      <c r="J25" s="407">
        <f>INDEX(J27:J29,MATCH($D$26,IEIrev,0))</f>
        <v>0.05</v>
      </c>
      <c r="K25" s="407">
        <f>INDEX(K27:K29,MATCH($D$26,IEIrev,0))</f>
        <v>0.14070796460176993</v>
      </c>
      <c r="L25" s="407">
        <f>INDEX(L27:L29,MATCH($D$26,IEIrev,0))</f>
        <v>8.4642233856893512E-2</v>
      </c>
      <c r="M25" s="407">
        <f>INDEX(M27:M29,MATCH($D$26,IEIrev,0))</f>
        <v>-6.013179571663918E-2</v>
      </c>
      <c r="N25" s="400">
        <f>N24/I24-1</f>
        <v>5.2141929900475947E-2</v>
      </c>
      <c r="O25" s="406">
        <f>INDEX(O27:O29,MATCH($D$26,IEIrev,0))</f>
        <v>8.9075630252100746E-2</v>
      </c>
      <c r="P25" s="406">
        <f>INDEX(P27:P29,MATCH($D$26,IEIrev,0))</f>
        <v>7.9131109387121867E-2</v>
      </c>
      <c r="Q25" s="406">
        <f>INDEX(Q27:Q29,MATCH($D$26,IEIrev,0))</f>
        <v>0.169750603378922</v>
      </c>
      <c r="R25" s="409">
        <f>INDEX(R27:R29,MATCH($D$26,IEIrev,0))</f>
        <v>0.3</v>
      </c>
      <c r="S25" s="410">
        <f>S24/N24-1</f>
        <v>0.15654945506888751</v>
      </c>
      <c r="T25" s="411">
        <f>INDEX(T27:T29,MATCH($D$26,IEIrev,0))</f>
        <v>0.15948933575453617</v>
      </c>
      <c r="U25" s="411">
        <f>INDEX(U27:U29,MATCH($D$26,IEIrev,0))</f>
        <v>0.17709276213014502</v>
      </c>
      <c r="V25" s="411">
        <f>INDEX(V27:V29,MATCH($D$26,IEIrev,0))</f>
        <v>0.20158317531590081</v>
      </c>
      <c r="W25" s="411">
        <f>INDEX(W27:W29,MATCH($D$26,IEIrev,0))</f>
        <v>0.2095413183001455</v>
      </c>
      <c r="X25" s="410">
        <f>X24/S24-1</f>
        <v>0.18792539260082775</v>
      </c>
      <c r="Y25" s="411">
        <f>INDEX(Y27:Y29,MATCH($D$26,IEIrev,0))</f>
        <v>0.14354040217908257</v>
      </c>
      <c r="Z25" s="411">
        <f>INDEX(Z27:Z29,MATCH($D$26,IEIrev,0))</f>
        <v>0.15938348591713053</v>
      </c>
      <c r="AA25" s="411">
        <f>INDEX(AA27:AA29,MATCH($D$26,IEIrev,0))</f>
        <v>0.18142485778431072</v>
      </c>
      <c r="AB25" s="411">
        <f>INDEX(AB27:AB29,MATCH($D$26,IEIrev,0))</f>
        <v>0.18858718647013095</v>
      </c>
      <c r="AC25" s="410">
        <f>AC24/X24-1</f>
        <v>0.16942590175453387</v>
      </c>
      <c r="AD25" s="411">
        <f>INDEX(AD27:AD29,MATCH($D$26,IEIrev,0))</f>
        <v>0.12918636196117431</v>
      </c>
      <c r="AE25" s="411">
        <f>INDEX(AE27:AE29,MATCH($D$26,IEIrev,0))</f>
        <v>0.14344513732541747</v>
      </c>
      <c r="AF25" s="411">
        <f>INDEX(AF27:AF29,MATCH($D$26,IEIrev,0))</f>
        <v>0.16328237200587967</v>
      </c>
      <c r="AG25" s="411">
        <f>INDEX(AG27:AG29,MATCH($D$26,IEIrev,0))</f>
        <v>0.16972846782311787</v>
      </c>
      <c r="AH25" s="410">
        <f>AH24/AC24-1</f>
        <v>0.15272316774926598</v>
      </c>
      <c r="AI25" s="411">
        <f>INDEX(AI27:AI29,MATCH($D$26,IEIrev,0))</f>
        <v>0.11626772576505688</v>
      </c>
      <c r="AJ25" s="411">
        <f>INDEX(AJ27:AJ29,MATCH($D$26,IEIrev,0))</f>
        <v>0.12910062359287572</v>
      </c>
      <c r="AK25" s="411">
        <f>INDEX(AK27:AK29,MATCH($D$26,IEIrev,0))</f>
        <v>0.14695413480529171</v>
      </c>
      <c r="AL25" s="411">
        <f>INDEX(AL27:AL29,MATCH($D$26,IEIrev,0))</f>
        <v>0.15275562104080609</v>
      </c>
      <c r="AM25" s="410">
        <f>AM24/AH24-1</f>
        <v>0.13764692673013124</v>
      </c>
      <c r="AN25" s="411">
        <f>INDEX(AN27:AN29,MATCH($D$26,IEIrev,0))</f>
        <v>0.1046409531885512</v>
      </c>
      <c r="AO25" s="411">
        <f>INDEX(AO27:AO29,MATCH($D$26,IEIrev,0))</f>
        <v>0.11619056123358815</v>
      </c>
      <c r="AP25" s="411">
        <f>INDEX(AP27:AP29,MATCH($D$26,IEIrev,0))</f>
        <v>0.13225872132476255</v>
      </c>
      <c r="AQ25" s="411">
        <f>INDEX(AQ27:AQ29,MATCH($D$26,IEIrev,0))</f>
        <v>0.13748005893672549</v>
      </c>
      <c r="AR25" s="410">
        <f>AR24/AM24-1</f>
        <v>0.1240423466987659</v>
      </c>
      <c r="AS25" s="21"/>
    </row>
    <row r="26" spans="4:45" s="15" customFormat="1" outlineLevel="1">
      <c r="D26" s="23" t="s">
        <v>116</v>
      </c>
      <c r="E26" s="29"/>
      <c r="F26" s="29"/>
      <c r="G26" s="29"/>
      <c r="H26" s="29"/>
      <c r="I26" s="38"/>
      <c r="J26" s="30"/>
      <c r="K26" s="30"/>
      <c r="L26" s="30"/>
      <c r="M26" s="30"/>
      <c r="N26" s="43"/>
      <c r="S26" s="45"/>
      <c r="T26" s="44"/>
      <c r="U26" s="44"/>
      <c r="V26" s="44"/>
      <c r="W26" s="44"/>
      <c r="X26" s="45"/>
      <c r="Y26" s="44"/>
      <c r="Z26" s="44"/>
      <c r="AA26" s="44"/>
      <c r="AB26" s="44"/>
      <c r="AC26" s="45"/>
      <c r="AD26" s="44"/>
      <c r="AE26" s="44"/>
      <c r="AF26" s="44"/>
      <c r="AG26" s="44"/>
      <c r="AH26" s="45"/>
      <c r="AI26" s="44"/>
      <c r="AJ26" s="44"/>
      <c r="AK26" s="44"/>
      <c r="AL26" s="44"/>
      <c r="AM26" s="45"/>
      <c r="AN26" s="44"/>
      <c r="AO26" s="44"/>
      <c r="AP26" s="44"/>
      <c r="AQ26" s="44"/>
      <c r="AR26" s="45"/>
      <c r="AS26" s="22"/>
    </row>
    <row r="27" spans="4:45" s="15" customFormat="1" outlineLevel="1">
      <c r="D27" s="47" t="s">
        <v>114</v>
      </c>
      <c r="E27" s="29"/>
      <c r="F27" s="29"/>
      <c r="G27" s="29"/>
      <c r="H27" s="29"/>
      <c r="I27" s="38"/>
      <c r="J27" s="405">
        <v>0.05</v>
      </c>
      <c r="K27" s="404">
        <f>K24/F24-1</f>
        <v>0.14070796460176993</v>
      </c>
      <c r="L27" s="404">
        <f t="shared" ref="L27:O27" si="93">L24/G24-1</f>
        <v>8.4642233856893512E-2</v>
      </c>
      <c r="M27" s="404">
        <f t="shared" si="93"/>
        <v>-6.013179571663918E-2</v>
      </c>
      <c r="N27" s="43"/>
      <c r="O27" s="404">
        <f t="shared" si="93"/>
        <v>8.9075630252100746E-2</v>
      </c>
      <c r="P27" s="404">
        <f t="shared" ref="P27" si="94">P24/K24-1</f>
        <v>7.9131109387121867E-2</v>
      </c>
      <c r="Q27" s="404">
        <f t="shared" ref="Q27" si="95">Q24/L24-1</f>
        <v>0.169750603378922</v>
      </c>
      <c r="R27" s="408">
        <v>0.2</v>
      </c>
      <c r="S27" s="45"/>
      <c r="T27" s="412">
        <f>AVERAGE(O27:R27)</f>
        <v>0.13448933575453614</v>
      </c>
      <c r="U27" s="412">
        <f>AVERAGE(P27:R27,T27)</f>
        <v>0.14584276213014502</v>
      </c>
      <c r="V27" s="412">
        <f>AVERAGE(Q27:R27,T27:U27)</f>
        <v>0.16252067531590081</v>
      </c>
      <c r="W27" s="412">
        <f>AVERAGE(R27,T27:V27)</f>
        <v>0.1607131933001455</v>
      </c>
      <c r="X27" s="45"/>
      <c r="Y27" s="412">
        <f>T27*0.9</f>
        <v>0.12104040217908253</v>
      </c>
      <c r="Z27" s="412">
        <f t="shared" ref="Z27:Z29" si="96">U27*0.9</f>
        <v>0.13125848591713052</v>
      </c>
      <c r="AA27" s="412">
        <f t="shared" ref="AA27:AA29" si="97">V27*0.9</f>
        <v>0.14626860778431072</v>
      </c>
      <c r="AB27" s="412">
        <f t="shared" ref="AB27:AB29" si="98">W27*0.9</f>
        <v>0.14464187397013095</v>
      </c>
      <c r="AC27" s="45"/>
      <c r="AD27" s="412">
        <f>Y27*0.9</f>
        <v>0.10893636196117427</v>
      </c>
      <c r="AE27" s="412">
        <f t="shared" ref="AE27:AE29" si="99">Z27*0.9</f>
        <v>0.11813263732541747</v>
      </c>
      <c r="AF27" s="412">
        <f t="shared" ref="AF27:AF29" si="100">AA27*0.9</f>
        <v>0.13164174700587966</v>
      </c>
      <c r="AG27" s="412">
        <f t="shared" ref="AG27:AG29" si="101">AB27*0.9</f>
        <v>0.13017768657311787</v>
      </c>
      <c r="AH27" s="45"/>
      <c r="AI27" s="412">
        <f>AD27*0.9</f>
        <v>9.8042725765056848E-2</v>
      </c>
      <c r="AJ27" s="412">
        <f t="shared" ref="AJ27:AJ29" si="102">AE27*0.9</f>
        <v>0.10631937359287573</v>
      </c>
      <c r="AK27" s="412">
        <f t="shared" ref="AK27:AK29" si="103">AF27*0.9</f>
        <v>0.1184775723052917</v>
      </c>
      <c r="AL27" s="412">
        <f t="shared" ref="AL27:AL29" si="104">AG27*0.9</f>
        <v>0.11715991791580609</v>
      </c>
      <c r="AM27" s="45"/>
      <c r="AN27" s="412">
        <f>AI27*0.9</f>
        <v>8.8238453188551169E-2</v>
      </c>
      <c r="AO27" s="412">
        <f t="shared" ref="AO27:AO29" si="105">AJ27*0.9</f>
        <v>9.5687436233588163E-2</v>
      </c>
      <c r="AP27" s="412">
        <f t="shared" ref="AP27:AP29" si="106">AK27*0.9</f>
        <v>0.10662981507476253</v>
      </c>
      <c r="AQ27" s="412">
        <f t="shared" ref="AQ27:AQ29" si="107">AL27*0.9</f>
        <v>0.10544392612422548</v>
      </c>
      <c r="AR27" s="45"/>
      <c r="AS27" s="22"/>
    </row>
    <row r="28" spans="4:45" s="15" customFormat="1" outlineLevel="1">
      <c r="D28" s="47" t="s">
        <v>115</v>
      </c>
      <c r="E28" s="29"/>
      <c r="F28" s="29"/>
      <c r="G28" s="29"/>
      <c r="H28" s="29"/>
      <c r="I28" s="38"/>
      <c r="J28" s="403">
        <v>0.05</v>
      </c>
      <c r="K28" s="403">
        <f>K27</f>
        <v>0.14070796460176993</v>
      </c>
      <c r="L28" s="403">
        <f t="shared" ref="L28:O29" si="108">L27</f>
        <v>8.4642233856893512E-2</v>
      </c>
      <c r="M28" s="403">
        <f t="shared" si="108"/>
        <v>-6.013179571663918E-2</v>
      </c>
      <c r="N28" s="43"/>
      <c r="O28" s="403">
        <f t="shared" si="108"/>
        <v>8.9075630252100746E-2</v>
      </c>
      <c r="P28" s="403">
        <f t="shared" ref="P28:P29" si="109">P27</f>
        <v>7.9131109387121867E-2</v>
      </c>
      <c r="Q28" s="403">
        <f t="shared" ref="Q28:Q29" si="110">Q27</f>
        <v>0.169750603378922</v>
      </c>
      <c r="R28" s="408">
        <v>0.25</v>
      </c>
      <c r="S28" s="45"/>
      <c r="T28" s="412">
        <f t="shared" ref="T28:T29" si="111">AVERAGE(O28:R28)</f>
        <v>0.14698933575453615</v>
      </c>
      <c r="U28" s="412">
        <f t="shared" ref="U28:U29" si="112">AVERAGE(P28:R28,T28)</f>
        <v>0.16146776213014502</v>
      </c>
      <c r="V28" s="412">
        <f t="shared" ref="V28:V29" si="113">AVERAGE(Q28:R28,T28:U28)</f>
        <v>0.18205192531590081</v>
      </c>
      <c r="W28" s="412">
        <f t="shared" ref="W28:W29" si="114">AVERAGE(R28,T28:V28)</f>
        <v>0.1851272558001455</v>
      </c>
      <c r="X28" s="45"/>
      <c r="Y28" s="412">
        <f t="shared" ref="Y28:Y29" si="115">T28*0.9</f>
        <v>0.13229040217908256</v>
      </c>
      <c r="Z28" s="412">
        <f t="shared" si="96"/>
        <v>0.14532098591713052</v>
      </c>
      <c r="AA28" s="412">
        <f t="shared" si="97"/>
        <v>0.16384673278431072</v>
      </c>
      <c r="AB28" s="412">
        <f t="shared" si="98"/>
        <v>0.16661453022013095</v>
      </c>
      <c r="AC28" s="45"/>
      <c r="AD28" s="412">
        <f t="shared" ref="AD28:AD29" si="116">Y28*0.9</f>
        <v>0.1190613619611743</v>
      </c>
      <c r="AE28" s="412">
        <f t="shared" si="99"/>
        <v>0.13078888732541746</v>
      </c>
      <c r="AF28" s="412">
        <f t="shared" si="100"/>
        <v>0.14746205950587965</v>
      </c>
      <c r="AG28" s="412">
        <f t="shared" si="101"/>
        <v>0.14995307719811787</v>
      </c>
      <c r="AH28" s="45"/>
      <c r="AI28" s="412">
        <f t="shared" ref="AI28:AI29" si="117">AD28*0.9</f>
        <v>0.10715522576505687</v>
      </c>
      <c r="AJ28" s="412">
        <f t="shared" si="102"/>
        <v>0.11770999859287572</v>
      </c>
      <c r="AK28" s="412">
        <f t="shared" si="103"/>
        <v>0.1327158535552917</v>
      </c>
      <c r="AL28" s="412">
        <f t="shared" si="104"/>
        <v>0.13495776947830609</v>
      </c>
      <c r="AM28" s="45"/>
      <c r="AN28" s="412">
        <f t="shared" ref="AN28:AN29" si="118">AI28*0.9</f>
        <v>9.643970318855119E-2</v>
      </c>
      <c r="AO28" s="412">
        <f t="shared" si="105"/>
        <v>0.10593899873358814</v>
      </c>
      <c r="AP28" s="412">
        <f t="shared" si="106"/>
        <v>0.11944426819976253</v>
      </c>
      <c r="AQ28" s="412">
        <f t="shared" si="107"/>
        <v>0.12146199253047549</v>
      </c>
      <c r="AR28" s="45"/>
      <c r="AS28" s="22"/>
    </row>
    <row r="29" spans="4:45" s="15" customFormat="1" outlineLevel="1">
      <c r="D29" s="47" t="s">
        <v>116</v>
      </c>
      <c r="E29" s="29"/>
      <c r="F29" s="29"/>
      <c r="G29" s="29"/>
      <c r="H29" s="29"/>
      <c r="I29" s="38"/>
      <c r="J29" s="403">
        <v>0.05</v>
      </c>
      <c r="K29" s="403">
        <f>K28</f>
        <v>0.14070796460176993</v>
      </c>
      <c r="L29" s="403">
        <f t="shared" si="108"/>
        <v>8.4642233856893512E-2</v>
      </c>
      <c r="M29" s="403">
        <f t="shared" si="108"/>
        <v>-6.013179571663918E-2</v>
      </c>
      <c r="N29" s="43"/>
      <c r="O29" s="403">
        <f t="shared" si="108"/>
        <v>8.9075630252100746E-2</v>
      </c>
      <c r="P29" s="403">
        <f t="shared" si="109"/>
        <v>7.9131109387121867E-2</v>
      </c>
      <c r="Q29" s="403">
        <f t="shared" si="110"/>
        <v>0.169750603378922</v>
      </c>
      <c r="R29" s="408">
        <v>0.3</v>
      </c>
      <c r="S29" s="45"/>
      <c r="T29" s="412">
        <f t="shared" si="111"/>
        <v>0.15948933575453617</v>
      </c>
      <c r="U29" s="412">
        <f t="shared" si="112"/>
        <v>0.17709276213014502</v>
      </c>
      <c r="V29" s="412">
        <f t="shared" si="113"/>
        <v>0.20158317531590081</v>
      </c>
      <c r="W29" s="412">
        <f t="shared" si="114"/>
        <v>0.2095413183001455</v>
      </c>
      <c r="X29" s="45"/>
      <c r="Y29" s="412">
        <f t="shared" si="115"/>
        <v>0.14354040217908257</v>
      </c>
      <c r="Z29" s="412">
        <f t="shared" si="96"/>
        <v>0.15938348591713053</v>
      </c>
      <c r="AA29" s="412">
        <f t="shared" si="97"/>
        <v>0.18142485778431072</v>
      </c>
      <c r="AB29" s="412">
        <f t="shared" si="98"/>
        <v>0.18858718647013095</v>
      </c>
      <c r="AC29" s="45"/>
      <c r="AD29" s="412">
        <f t="shared" si="116"/>
        <v>0.12918636196117431</v>
      </c>
      <c r="AE29" s="412">
        <f t="shared" si="99"/>
        <v>0.14344513732541747</v>
      </c>
      <c r="AF29" s="412">
        <f t="shared" si="100"/>
        <v>0.16328237200587967</v>
      </c>
      <c r="AG29" s="412">
        <f t="shared" si="101"/>
        <v>0.16972846782311787</v>
      </c>
      <c r="AH29" s="45"/>
      <c r="AI29" s="412">
        <f t="shared" si="117"/>
        <v>0.11626772576505688</v>
      </c>
      <c r="AJ29" s="412">
        <f t="shared" si="102"/>
        <v>0.12910062359287572</v>
      </c>
      <c r="AK29" s="412">
        <f t="shared" si="103"/>
        <v>0.14695413480529171</v>
      </c>
      <c r="AL29" s="412">
        <f t="shared" si="104"/>
        <v>0.15275562104080609</v>
      </c>
      <c r="AM29" s="45"/>
      <c r="AN29" s="412">
        <f t="shared" si="118"/>
        <v>0.1046409531885512</v>
      </c>
      <c r="AO29" s="412">
        <f t="shared" si="105"/>
        <v>0.11619056123358815</v>
      </c>
      <c r="AP29" s="412">
        <f t="shared" si="106"/>
        <v>0.13225872132476255</v>
      </c>
      <c r="AQ29" s="412">
        <f t="shared" si="107"/>
        <v>0.13748005893672549</v>
      </c>
      <c r="AR29" s="45"/>
      <c r="AS29" s="22"/>
    </row>
    <row r="30" spans="4:45" outlineLevel="1">
      <c r="E30" s="28"/>
      <c r="F30" s="28"/>
      <c r="G30" s="28"/>
      <c r="H30" s="28"/>
      <c r="I30" s="37"/>
      <c r="J30" s="28"/>
      <c r="K30" s="28"/>
      <c r="L30" s="28"/>
      <c r="M30" s="28"/>
      <c r="N30" s="37"/>
      <c r="O30" s="28"/>
      <c r="P30" s="28"/>
      <c r="Q30" s="28"/>
      <c r="R30" s="33"/>
      <c r="S30" s="39"/>
      <c r="T30" s="33"/>
      <c r="U30" s="33"/>
      <c r="V30" s="33"/>
      <c r="W30" s="33"/>
      <c r="X30" s="39"/>
      <c r="Y30" s="33"/>
      <c r="Z30" s="33"/>
      <c r="AA30" s="33"/>
      <c r="AB30" s="33"/>
      <c r="AC30" s="39"/>
      <c r="AD30" s="33"/>
      <c r="AE30" s="33"/>
      <c r="AF30" s="33"/>
      <c r="AG30" s="33"/>
      <c r="AH30" s="39"/>
      <c r="AI30" s="33"/>
      <c r="AJ30" s="33"/>
      <c r="AK30" s="33"/>
      <c r="AL30" s="33"/>
      <c r="AM30" s="39"/>
      <c r="AN30" s="33"/>
      <c r="AO30" s="33"/>
      <c r="AP30" s="33"/>
      <c r="AQ30" s="33"/>
      <c r="AR30" s="39"/>
      <c r="AS30" s="21"/>
    </row>
    <row r="31" spans="4:45" outlineLevel="1">
      <c r="E31" s="28"/>
      <c r="F31" s="28"/>
      <c r="G31" s="28"/>
      <c r="H31" s="28"/>
      <c r="I31" s="37"/>
      <c r="J31" s="28"/>
      <c r="K31" s="28"/>
      <c r="L31" s="28"/>
      <c r="M31" s="28"/>
      <c r="N31" s="37"/>
      <c r="O31" s="28"/>
      <c r="P31" s="28"/>
      <c r="Q31" s="28"/>
      <c r="R31" s="33"/>
      <c r="S31" s="39"/>
      <c r="T31" s="33"/>
      <c r="U31" s="33"/>
      <c r="V31" s="33"/>
      <c r="W31" s="33"/>
      <c r="X31" s="39"/>
      <c r="Y31" s="33"/>
      <c r="Z31" s="33"/>
      <c r="AA31" s="33"/>
      <c r="AB31" s="33"/>
      <c r="AC31" s="39"/>
      <c r="AD31" s="33"/>
      <c r="AE31" s="33"/>
      <c r="AF31" s="33"/>
      <c r="AG31" s="33"/>
      <c r="AH31" s="39"/>
      <c r="AI31" s="33"/>
      <c r="AJ31" s="33"/>
      <c r="AK31" s="33"/>
      <c r="AL31" s="33"/>
      <c r="AM31" s="39"/>
      <c r="AN31" s="33"/>
      <c r="AO31" s="33"/>
      <c r="AP31" s="33"/>
      <c r="AQ31" s="33"/>
      <c r="AR31" s="39"/>
      <c r="AS31" s="21"/>
    </row>
    <row r="32" spans="4:45" s="9" customFormat="1" outlineLevel="1">
      <c r="D32" s="13" t="s">
        <v>118</v>
      </c>
      <c r="E32" s="13">
        <v>907</v>
      </c>
      <c r="F32" s="13">
        <v>905</v>
      </c>
      <c r="G32" s="13">
        <v>955</v>
      </c>
      <c r="H32" s="13">
        <v>1022</v>
      </c>
      <c r="I32" s="52">
        <f>SUM(E32:H32)</f>
        <v>3789</v>
      </c>
      <c r="J32" s="13">
        <v>1018</v>
      </c>
      <c r="K32" s="13">
        <v>1078</v>
      </c>
      <c r="L32" s="13">
        <v>999</v>
      </c>
      <c r="M32" s="13">
        <v>1023</v>
      </c>
      <c r="N32" s="52">
        <f>SUM(J32:M32)</f>
        <v>4118</v>
      </c>
      <c r="O32" s="13">
        <v>1049</v>
      </c>
      <c r="P32" s="13">
        <v>1132</v>
      </c>
      <c r="Q32" s="13">
        <v>1160</v>
      </c>
      <c r="R32" s="13">
        <f>M32*(1+R33)</f>
        <v>1227.5999999999999</v>
      </c>
      <c r="S32" s="52">
        <f>SUM(O32:R32)</f>
        <v>4568.6000000000004</v>
      </c>
      <c r="T32" s="13">
        <f>O32*(1+T33)</f>
        <v>1164.8373439374072</v>
      </c>
      <c r="U32" s="13">
        <f t="shared" ref="U32:W32" si="119">P32*(1+U33)</f>
        <v>1279.6355457077811</v>
      </c>
      <c r="V32" s="13">
        <f t="shared" si="119"/>
        <v>1334.5822337333177</v>
      </c>
      <c r="W32" s="13">
        <f t="shared" si="119"/>
        <v>1409.0848445222052</v>
      </c>
      <c r="X32" s="52">
        <f>SUM(T32:W32)</f>
        <v>5188.1399679007118</v>
      </c>
      <c r="Y32" s="13">
        <f>T32*(1+Y33)</f>
        <v>1280.6033092727093</v>
      </c>
      <c r="Z32" s="13">
        <f t="shared" ref="Z32" si="120">U32*(1+Z33)</f>
        <v>1429.836714336649</v>
      </c>
      <c r="AA32" s="13">
        <f t="shared" ref="AA32" si="121">V32*(1+AA33)</f>
        <v>1515.3537102155308</v>
      </c>
      <c r="AB32" s="13">
        <f t="shared" ref="AB32" si="122">W32*(1+AB33)</f>
        <v>1596.5683811253639</v>
      </c>
      <c r="AC32" s="52">
        <f>SUM(Y32:AB32)</f>
        <v>5822.3621149502533</v>
      </c>
      <c r="AD32" s="13">
        <f>Y32*(1+AD33)</f>
        <v>1395.1474137977041</v>
      </c>
      <c r="AE32" s="13">
        <f t="shared" ref="AE32" si="123">Z32*(1+AE33)</f>
        <v>1580.8850589578776</v>
      </c>
      <c r="AF32" s="13">
        <f t="shared" ref="AF32" si="124">AA32*(1+AF33)</f>
        <v>1700.0852678505769</v>
      </c>
      <c r="AG32" s="13">
        <f t="shared" ref="AG32" si="125">AB32*(1+AG33)</f>
        <v>1787.7543547146934</v>
      </c>
      <c r="AH32" s="52">
        <f>SUM(AD32:AG32)</f>
        <v>6463.8720953208522</v>
      </c>
      <c r="AI32" s="13">
        <f>AD32*(1+AI33)</f>
        <v>1507.4580091499222</v>
      </c>
      <c r="AJ32" s="13">
        <f t="shared" ref="AJ32" si="126">AE32*(1+AJ33)</f>
        <v>1731.1896790015189</v>
      </c>
      <c r="AK32" s="13">
        <f t="shared" ref="AK32" si="127">AF32*(1+AK33)</f>
        <v>1886.6116595258159</v>
      </c>
      <c r="AL32" s="13">
        <f t="shared" ref="AL32" si="128">AG32*(1+AL33)</f>
        <v>1980.4264662238768</v>
      </c>
      <c r="AM32" s="52">
        <f>SUM(AI32:AL32)</f>
        <v>7105.6858139011329</v>
      </c>
      <c r="AN32" s="13">
        <f>AI32*(1+AN33)</f>
        <v>1616.6745366089922</v>
      </c>
      <c r="AO32" s="13">
        <f t="shared" ref="AO32" si="129">AJ32*(1+AO33)</f>
        <v>1879.325196448684</v>
      </c>
      <c r="AP32" s="13">
        <f t="shared" ref="AP32" si="130">AK32*(1+AP33)</f>
        <v>2072.9038325118377</v>
      </c>
      <c r="AQ32" s="13">
        <f t="shared" ref="AQ32" si="131">AL32*(1+AQ33)</f>
        <v>2172.5197776661121</v>
      </c>
      <c r="AR32" s="52">
        <f>SUM(AN32:AQ32)</f>
        <v>7741.423343235625</v>
      </c>
      <c r="AS32" s="20"/>
    </row>
    <row r="33" spans="3:50" outlineLevel="1">
      <c r="E33" s="28"/>
      <c r="F33" s="28"/>
      <c r="G33" s="28"/>
      <c r="H33" s="28"/>
      <c r="I33" s="37"/>
      <c r="J33" s="407">
        <f>INDEX(J35:J37,MATCH($D$34,HRSrev,0))</f>
        <v>0.12</v>
      </c>
      <c r="K33" s="407">
        <f>INDEX(K35:K37,MATCH($D$34,HRSrev,0))</f>
        <v>0.19116022099447516</v>
      </c>
      <c r="L33" s="407">
        <f>INDEX(L35:L37,MATCH($D$34,HRSrev,0))</f>
        <v>4.6073298429319287E-2</v>
      </c>
      <c r="M33" s="407">
        <f>INDEX(M35:M37,MATCH($D$34,HRSrev,0))</f>
        <v>9.7847358121327943E-4</v>
      </c>
      <c r="N33" s="400">
        <f>N32/I32-1</f>
        <v>8.6830298231723502E-2</v>
      </c>
      <c r="O33" s="406">
        <f>INDEX(O35:O37,MATCH($D$34,HRSrev,0))</f>
        <v>3.0451866404715089E-2</v>
      </c>
      <c r="P33" s="406">
        <f>INDEX(P35:P37,MATCH($D$34,HRSrev,0))</f>
        <v>5.009276437847876E-2</v>
      </c>
      <c r="Q33" s="406">
        <f>INDEX(Q35:Q37,MATCH($D$34,HRSrev,0))</f>
        <v>0.16116116116116119</v>
      </c>
      <c r="R33" s="409">
        <f>INDEX(R35:R37,MATCH($D$34,HRSrev,0))</f>
        <v>0.2</v>
      </c>
      <c r="S33" s="410">
        <f>S32/N32-1</f>
        <v>0.10942204953861112</v>
      </c>
      <c r="T33" s="411">
        <f>INDEX(T35:T37,MATCH($D$34,HRSrev,0))</f>
        <v>0.11042644798608876</v>
      </c>
      <c r="U33" s="411">
        <f>INDEX(U35:U37,MATCH($D$34,HRSrev,0))</f>
        <v>0.13042009338143218</v>
      </c>
      <c r="V33" s="411">
        <f>INDEX(V35:V37,MATCH($D$34,HRSrev,0))</f>
        <v>0.15050192563217052</v>
      </c>
      <c r="W33" s="411">
        <f>INDEX(W35:W37,MATCH($D$34,HRSrev,0))</f>
        <v>0.14783711674992286</v>
      </c>
      <c r="X33" s="410">
        <f>X32/S32-1</f>
        <v>0.13560827559880728</v>
      </c>
      <c r="Y33" s="411">
        <f>INDEX(Y35:Y37,MATCH($D$34,HRSrev,0))</f>
        <v>9.9383803187479886E-2</v>
      </c>
      <c r="Z33" s="411">
        <f>INDEX(Z35:Z37,MATCH($D$34,HRSrev,0))</f>
        <v>0.11737808404328896</v>
      </c>
      <c r="AA33" s="411">
        <f>INDEX(AA35:AA37,MATCH($D$34,HRSrev,0))</f>
        <v>0.13545173306895347</v>
      </c>
      <c r="AB33" s="411">
        <f>INDEX(AB35:AB37,MATCH($D$34,HRSrev,0))</f>
        <v>0.13305340507493058</v>
      </c>
      <c r="AC33" s="410">
        <f>AC32/X32-1</f>
        <v>0.12224461000927245</v>
      </c>
      <c r="AD33" s="411">
        <f>INDEX(AD35:AD37,MATCH($D$34,HRSrev,0))</f>
        <v>8.9445422868731903E-2</v>
      </c>
      <c r="AE33" s="411">
        <f>INDEX(AE35:AE37,MATCH($D$34,HRSrev,0))</f>
        <v>0.10564027563896007</v>
      </c>
      <c r="AF33" s="411">
        <f>INDEX(AF35:AF37,MATCH($D$34,HRSrev,0))</f>
        <v>0.12190655976205812</v>
      </c>
      <c r="AG33" s="411">
        <f>INDEX(AG35:AG37,MATCH($D$34,HRSrev,0))</f>
        <v>0.11974806456743751</v>
      </c>
      <c r="AH33" s="410">
        <f>AH32/AC32-1</f>
        <v>0.1101803645505619</v>
      </c>
      <c r="AI33" s="411">
        <f>INDEX(AI35:AI37,MATCH($D$34,HRSrev,0))</f>
        <v>8.0500880581858711E-2</v>
      </c>
      <c r="AJ33" s="411">
        <f>INDEX(AJ35:AJ37,MATCH($D$34,HRSrev,0))</f>
        <v>9.5076248075064068E-2</v>
      </c>
      <c r="AK33" s="411">
        <f>INDEX(AK35:AK37,MATCH($D$34,HRSrev,0))</f>
        <v>0.10971590378585232</v>
      </c>
      <c r="AL33" s="411">
        <f>INDEX(AL35:AL37,MATCH($D$34,HRSrev,0))</f>
        <v>0.10777325811069377</v>
      </c>
      <c r="AM33" s="410">
        <f>AM32/AH32-1</f>
        <v>9.9292453364738575E-2</v>
      </c>
      <c r="AN33" s="411">
        <f>INDEX(AN35:AN37,MATCH($D$34,HRSrev,0))</f>
        <v>7.2450792523672841E-2</v>
      </c>
      <c r="AO33" s="411">
        <f>INDEX(AO35:AO37,MATCH($D$34,HRSrev,0))</f>
        <v>8.5568623267557667E-2</v>
      </c>
      <c r="AP33" s="411">
        <f>INDEX(AP35:AP37,MATCH($D$34,HRSrev,0))</f>
        <v>9.8744313407267081E-2</v>
      </c>
      <c r="AQ33" s="411">
        <f>INDEX(AQ35:AQ37,MATCH($D$34,HRSrev,0))</f>
        <v>9.6995932299624402E-2</v>
      </c>
      <c r="AR33" s="410">
        <f>AR32/AM32-1</f>
        <v>8.9468848747966456E-2</v>
      </c>
      <c r="AS33" s="21"/>
    </row>
    <row r="34" spans="3:50" s="15" customFormat="1" outlineLevel="1">
      <c r="D34" s="23" t="s">
        <v>116</v>
      </c>
      <c r="E34" s="29"/>
      <c r="F34" s="29"/>
      <c r="G34" s="29"/>
      <c r="H34" s="29"/>
      <c r="I34" s="38"/>
      <c r="J34" s="42"/>
      <c r="K34" s="42"/>
      <c r="L34" s="42"/>
      <c r="M34" s="42"/>
      <c r="N34" s="43"/>
      <c r="S34" s="45"/>
      <c r="T34" s="44"/>
      <c r="U34" s="44"/>
      <c r="V34" s="44"/>
      <c r="W34" s="44"/>
      <c r="X34" s="45"/>
      <c r="Y34" s="44"/>
      <c r="Z34" s="44"/>
      <c r="AA34" s="44"/>
      <c r="AB34" s="44"/>
      <c r="AC34" s="45"/>
      <c r="AD34" s="44"/>
      <c r="AE34" s="44"/>
      <c r="AF34" s="44"/>
      <c r="AG34" s="44"/>
      <c r="AH34" s="45"/>
      <c r="AI34" s="44"/>
      <c r="AJ34" s="44"/>
      <c r="AK34" s="44"/>
      <c r="AL34" s="44"/>
      <c r="AM34" s="45"/>
      <c r="AN34" s="44"/>
      <c r="AO34" s="44"/>
      <c r="AP34" s="44"/>
      <c r="AQ34" s="44"/>
      <c r="AR34" s="45"/>
      <c r="AS34" s="22"/>
    </row>
    <row r="35" spans="3:50" s="15" customFormat="1" outlineLevel="1">
      <c r="D35" s="47" t="s">
        <v>114</v>
      </c>
      <c r="E35" s="29"/>
      <c r="F35" s="29"/>
      <c r="G35" s="29"/>
      <c r="H35" s="29"/>
      <c r="I35" s="38"/>
      <c r="J35" s="405">
        <v>0.12</v>
      </c>
      <c r="K35" s="404">
        <f>K32/F32-1</f>
        <v>0.19116022099447516</v>
      </c>
      <c r="L35" s="404">
        <f t="shared" ref="L35" si="132">L32/G32-1</f>
        <v>4.6073298429319287E-2</v>
      </c>
      <c r="M35" s="404">
        <f t="shared" ref="M35" si="133">M32/H32-1</f>
        <v>9.7847358121327943E-4</v>
      </c>
      <c r="N35" s="43"/>
      <c r="O35" s="404">
        <f t="shared" ref="O35" si="134">O32/J32-1</f>
        <v>3.0451866404715089E-2</v>
      </c>
      <c r="P35" s="404">
        <f t="shared" ref="P35" si="135">P32/K32-1</f>
        <v>5.009276437847876E-2</v>
      </c>
      <c r="Q35" s="404">
        <f t="shared" ref="Q35" si="136">Q32/L32-1</f>
        <v>0.16116116116116119</v>
      </c>
      <c r="R35" s="408">
        <v>0.1</v>
      </c>
      <c r="S35" s="45"/>
      <c r="T35" s="412">
        <f>AVERAGE(O35:R35)</f>
        <v>8.5426447986088755E-2</v>
      </c>
      <c r="U35" s="412">
        <f>AVERAGE(P35:R35,T35)</f>
        <v>9.9170093381432178E-2</v>
      </c>
      <c r="V35" s="412">
        <f>AVERAGE(Q35:R35,T35:U35)</f>
        <v>0.11143942563217053</v>
      </c>
      <c r="W35" s="412">
        <f>AVERAGE(R35,T35:V35)</f>
        <v>9.9008991749922864E-2</v>
      </c>
      <c r="X35" s="45"/>
      <c r="Y35" s="412">
        <f>T35*0.9</f>
        <v>7.6883803187479879E-2</v>
      </c>
      <c r="Z35" s="412">
        <f t="shared" ref="Z35:Z37" si="137">U35*0.9</f>
        <v>8.9253084043288966E-2</v>
      </c>
      <c r="AA35" s="412">
        <f t="shared" ref="AA35:AA37" si="138">V35*0.9</f>
        <v>0.10029548306895349</v>
      </c>
      <c r="AB35" s="412">
        <f t="shared" ref="AB35:AB37" si="139">W35*0.9</f>
        <v>8.9108092574930575E-2</v>
      </c>
      <c r="AC35" s="45"/>
      <c r="AD35" s="412">
        <f>Y35*0.9</f>
        <v>6.9195422868731898E-2</v>
      </c>
      <c r="AE35" s="412">
        <f t="shared" ref="AE35:AE37" si="140">Z35*0.9</f>
        <v>8.0327775638960069E-2</v>
      </c>
      <c r="AF35" s="412">
        <f t="shared" ref="AF35:AF37" si="141">AA35*0.9</f>
        <v>9.0265934762058145E-2</v>
      </c>
      <c r="AG35" s="412">
        <f t="shared" ref="AG35:AG37" si="142">AB35*0.9</f>
        <v>8.0197283317437515E-2</v>
      </c>
      <c r="AH35" s="45"/>
      <c r="AI35" s="412">
        <f>AD35*0.9</f>
        <v>6.2275880581858713E-2</v>
      </c>
      <c r="AJ35" s="412">
        <f t="shared" ref="AJ35:AJ37" si="143">AE35*0.9</f>
        <v>7.2294998075064065E-2</v>
      </c>
      <c r="AK35" s="412">
        <f t="shared" ref="AK35:AK37" si="144">AF35*0.9</f>
        <v>8.1239341285852334E-2</v>
      </c>
      <c r="AL35" s="412">
        <f t="shared" ref="AL35:AL37" si="145">AG35*0.9</f>
        <v>7.2177554985693768E-2</v>
      </c>
      <c r="AM35" s="45"/>
      <c r="AN35" s="412">
        <f>AI35*0.9</f>
        <v>5.6048292523672841E-2</v>
      </c>
      <c r="AO35" s="412">
        <f t="shared" ref="AO35:AO37" si="146">AJ35*0.9</f>
        <v>6.5065498267557656E-2</v>
      </c>
      <c r="AP35" s="412">
        <f t="shared" ref="AP35:AP37" si="147">AK35*0.9</f>
        <v>7.3115407157267109E-2</v>
      </c>
      <c r="AQ35" s="412">
        <f t="shared" ref="AQ35:AQ37" si="148">AL35*0.9</f>
        <v>6.4959799487124395E-2</v>
      </c>
      <c r="AR35" s="45"/>
      <c r="AS35" s="22"/>
    </row>
    <row r="36" spans="3:50" s="15" customFormat="1" outlineLevel="1">
      <c r="D36" s="47" t="s">
        <v>115</v>
      </c>
      <c r="E36" s="29"/>
      <c r="F36" s="29"/>
      <c r="G36" s="29"/>
      <c r="H36" s="29"/>
      <c r="I36" s="38"/>
      <c r="J36" s="403">
        <v>0.12</v>
      </c>
      <c r="K36" s="403">
        <f>K35</f>
        <v>0.19116022099447516</v>
      </c>
      <c r="L36" s="403">
        <f t="shared" ref="L36:L37" si="149">L35</f>
        <v>4.6073298429319287E-2</v>
      </c>
      <c r="M36" s="403">
        <f t="shared" ref="M36:M37" si="150">M35</f>
        <v>9.7847358121327943E-4</v>
      </c>
      <c r="N36" s="43"/>
      <c r="O36" s="403">
        <f t="shared" ref="O36:O37" si="151">O35</f>
        <v>3.0451866404715089E-2</v>
      </c>
      <c r="P36" s="403">
        <f t="shared" ref="P36:P37" si="152">P35</f>
        <v>5.009276437847876E-2</v>
      </c>
      <c r="Q36" s="403">
        <f t="shared" ref="Q36:Q37" si="153">Q35</f>
        <v>0.16116116116116119</v>
      </c>
      <c r="R36" s="408">
        <v>0.15</v>
      </c>
      <c r="S36" s="45"/>
      <c r="T36" s="412">
        <f t="shared" ref="T36:T37" si="154">AVERAGE(O36:R36)</f>
        <v>9.7926447986088766E-2</v>
      </c>
      <c r="U36" s="412">
        <f t="shared" ref="U36:U37" si="155">AVERAGE(P36:R36,T36)</f>
        <v>0.11479509338143218</v>
      </c>
      <c r="V36" s="412">
        <f t="shared" ref="V36:V37" si="156">AVERAGE(Q36:R36,T36:U36)</f>
        <v>0.13097067563217052</v>
      </c>
      <c r="W36" s="412">
        <f t="shared" ref="W36:W37" si="157">AVERAGE(R36,T36:V36)</f>
        <v>0.12342305424992286</v>
      </c>
      <c r="X36" s="45"/>
      <c r="Y36" s="412">
        <f t="shared" ref="Y36:Y37" si="158">T36*0.9</f>
        <v>8.8133803187479889E-2</v>
      </c>
      <c r="Z36" s="412">
        <f t="shared" si="137"/>
        <v>0.10331558404328896</v>
      </c>
      <c r="AA36" s="412">
        <f t="shared" si="138"/>
        <v>0.11787360806895347</v>
      </c>
      <c r="AB36" s="412">
        <f t="shared" si="139"/>
        <v>0.11108074882493058</v>
      </c>
      <c r="AC36" s="45"/>
      <c r="AD36" s="412">
        <f t="shared" ref="AD36:AD37" si="159">Y36*0.9</f>
        <v>7.9320422868731907E-2</v>
      </c>
      <c r="AE36" s="412">
        <f t="shared" si="140"/>
        <v>9.2984025638960063E-2</v>
      </c>
      <c r="AF36" s="412">
        <f t="shared" si="141"/>
        <v>0.10608624726205813</v>
      </c>
      <c r="AG36" s="412">
        <f t="shared" si="142"/>
        <v>9.9972673942437515E-2</v>
      </c>
      <c r="AH36" s="45"/>
      <c r="AI36" s="412">
        <f t="shared" ref="AI36:AI37" si="160">AD36*0.9</f>
        <v>7.1388380581858715E-2</v>
      </c>
      <c r="AJ36" s="412">
        <f t="shared" si="143"/>
        <v>8.3685623075064053E-2</v>
      </c>
      <c r="AK36" s="412">
        <f t="shared" si="144"/>
        <v>9.5477622535852319E-2</v>
      </c>
      <c r="AL36" s="412">
        <f t="shared" si="145"/>
        <v>8.9975406548193762E-2</v>
      </c>
      <c r="AM36" s="45"/>
      <c r="AN36" s="412">
        <f t="shared" ref="AN36:AN37" si="161">AI36*0.9</f>
        <v>6.4249542523672848E-2</v>
      </c>
      <c r="AO36" s="412">
        <f t="shared" si="146"/>
        <v>7.5317060767557648E-2</v>
      </c>
      <c r="AP36" s="412">
        <f t="shared" si="147"/>
        <v>8.5929860282267095E-2</v>
      </c>
      <c r="AQ36" s="412">
        <f t="shared" si="148"/>
        <v>8.0977865893374384E-2</v>
      </c>
      <c r="AR36" s="45"/>
      <c r="AS36" s="22"/>
    </row>
    <row r="37" spans="3:50" s="15" customFormat="1" outlineLevel="1">
      <c r="D37" s="47" t="s">
        <v>116</v>
      </c>
      <c r="E37" s="29"/>
      <c r="F37" s="29"/>
      <c r="G37" s="29"/>
      <c r="H37" s="29"/>
      <c r="I37" s="38"/>
      <c r="J37" s="403">
        <v>0.12</v>
      </c>
      <c r="K37" s="403">
        <f>K36</f>
        <v>0.19116022099447516</v>
      </c>
      <c r="L37" s="403">
        <f t="shared" si="149"/>
        <v>4.6073298429319287E-2</v>
      </c>
      <c r="M37" s="403">
        <f t="shared" si="150"/>
        <v>9.7847358121327943E-4</v>
      </c>
      <c r="N37" s="43"/>
      <c r="O37" s="403">
        <f t="shared" si="151"/>
        <v>3.0451866404715089E-2</v>
      </c>
      <c r="P37" s="403">
        <f t="shared" si="152"/>
        <v>5.009276437847876E-2</v>
      </c>
      <c r="Q37" s="403">
        <f t="shared" si="153"/>
        <v>0.16116116116116119</v>
      </c>
      <c r="R37" s="408">
        <v>0.2</v>
      </c>
      <c r="S37" s="45"/>
      <c r="T37" s="412">
        <f t="shared" si="154"/>
        <v>0.11042644798608876</v>
      </c>
      <c r="U37" s="412">
        <f t="shared" si="155"/>
        <v>0.13042009338143218</v>
      </c>
      <c r="V37" s="412">
        <f t="shared" si="156"/>
        <v>0.15050192563217052</v>
      </c>
      <c r="W37" s="412">
        <f t="shared" si="157"/>
        <v>0.14783711674992286</v>
      </c>
      <c r="X37" s="45"/>
      <c r="Y37" s="412">
        <f t="shared" si="158"/>
        <v>9.9383803187479886E-2</v>
      </c>
      <c r="Z37" s="412">
        <f t="shared" si="137"/>
        <v>0.11737808404328896</v>
      </c>
      <c r="AA37" s="412">
        <f t="shared" si="138"/>
        <v>0.13545173306895347</v>
      </c>
      <c r="AB37" s="412">
        <f t="shared" si="139"/>
        <v>0.13305340507493058</v>
      </c>
      <c r="AC37" s="45"/>
      <c r="AD37" s="412">
        <f t="shared" si="159"/>
        <v>8.9445422868731903E-2</v>
      </c>
      <c r="AE37" s="412">
        <f t="shared" si="140"/>
        <v>0.10564027563896007</v>
      </c>
      <c r="AF37" s="412">
        <f t="shared" si="141"/>
        <v>0.12190655976205812</v>
      </c>
      <c r="AG37" s="412">
        <f t="shared" si="142"/>
        <v>0.11974806456743751</v>
      </c>
      <c r="AH37" s="45"/>
      <c r="AI37" s="412">
        <f t="shared" si="160"/>
        <v>8.0500880581858711E-2</v>
      </c>
      <c r="AJ37" s="412">
        <f t="shared" si="143"/>
        <v>9.5076248075064068E-2</v>
      </c>
      <c r="AK37" s="412">
        <f t="shared" si="144"/>
        <v>0.10971590378585232</v>
      </c>
      <c r="AL37" s="412">
        <f t="shared" si="145"/>
        <v>0.10777325811069377</v>
      </c>
      <c r="AM37" s="45"/>
      <c r="AN37" s="412">
        <f t="shared" si="161"/>
        <v>7.2450792523672841E-2</v>
      </c>
      <c r="AO37" s="412">
        <f t="shared" si="146"/>
        <v>8.5568623267557667E-2</v>
      </c>
      <c r="AP37" s="412">
        <f t="shared" si="147"/>
        <v>9.8744313407267081E-2</v>
      </c>
      <c r="AQ37" s="412">
        <f t="shared" si="148"/>
        <v>9.6995932299624402E-2</v>
      </c>
      <c r="AR37" s="45"/>
      <c r="AS37" s="207"/>
      <c r="AT37" s="206"/>
      <c r="AU37" s="206"/>
      <c r="AV37" s="206"/>
    </row>
    <row r="38" spans="3:50" outlineLevel="1">
      <c r="E38" s="28"/>
      <c r="F38" s="28"/>
      <c r="G38" s="28"/>
      <c r="H38" s="28"/>
      <c r="I38" s="204"/>
      <c r="J38" s="204"/>
      <c r="K38" s="204"/>
      <c r="L38" s="204"/>
      <c r="M38" s="204"/>
      <c r="N38" s="204"/>
      <c r="O38" s="204"/>
      <c r="P38" s="204"/>
      <c r="Q38" s="204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3"/>
      <c r="AT38" s="127"/>
      <c r="AU38" s="127"/>
      <c r="AV38" s="127"/>
    </row>
    <row r="39" spans="3:50" outlineLevel="1">
      <c r="E39" s="28"/>
      <c r="F39" s="28"/>
      <c r="G39" s="28"/>
      <c r="H39" s="28"/>
      <c r="I39" s="201"/>
      <c r="J39" s="201"/>
      <c r="K39" s="201"/>
      <c r="L39" s="201"/>
      <c r="M39" s="201"/>
      <c r="N39" s="201"/>
      <c r="O39" s="201"/>
      <c r="P39" s="201"/>
      <c r="Q39" s="201"/>
      <c r="R39" s="202"/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  <c r="AF39" s="202"/>
      <c r="AG39" s="202"/>
      <c r="AH39" s="202"/>
      <c r="AI39" s="202"/>
      <c r="AJ39" s="202"/>
      <c r="AK39" s="202"/>
      <c r="AL39" s="202"/>
      <c r="AM39" s="202"/>
      <c r="AN39" s="202"/>
      <c r="AO39" s="202"/>
      <c r="AP39" s="202"/>
      <c r="AQ39" s="202"/>
      <c r="AR39" s="202"/>
      <c r="AS39" s="203"/>
      <c r="AT39" s="127"/>
      <c r="AU39" s="127"/>
      <c r="AV39" s="127"/>
    </row>
    <row r="40" spans="3:50"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6"/>
      <c r="W40" s="196"/>
      <c r="X40" s="196"/>
      <c r="Y40" s="196"/>
      <c r="Z40" s="196"/>
      <c r="AA40" s="196"/>
      <c r="AB40" s="196"/>
      <c r="AC40" s="196"/>
      <c r="AD40" s="196"/>
      <c r="AE40" s="196"/>
      <c r="AF40" s="196"/>
      <c r="AG40" s="196"/>
      <c r="AH40" s="196"/>
      <c r="AI40" s="196"/>
      <c r="AJ40" s="196"/>
      <c r="AK40" s="196"/>
      <c r="AL40" s="196"/>
      <c r="AM40" s="196"/>
      <c r="AN40" s="196"/>
      <c r="AO40" s="196"/>
      <c r="AP40" s="196"/>
      <c r="AQ40" s="196"/>
      <c r="AR40" s="196"/>
      <c r="AS40" s="127"/>
      <c r="AT40" s="127"/>
      <c r="AU40" s="127"/>
      <c r="AV40" s="127"/>
    </row>
    <row r="42" spans="3:50">
      <c r="C42" s="8"/>
      <c r="D42" s="14" t="s">
        <v>119</v>
      </c>
      <c r="E42" s="27"/>
      <c r="F42" s="27"/>
      <c r="G42" s="27"/>
      <c r="H42" s="27"/>
      <c r="I42" s="197"/>
      <c r="J42" s="197"/>
      <c r="K42" s="197"/>
      <c r="L42" s="197"/>
      <c r="M42" s="197"/>
      <c r="N42" s="197"/>
      <c r="O42" s="197"/>
      <c r="P42" s="197"/>
      <c r="Q42" s="197"/>
      <c r="R42" s="197"/>
      <c r="S42" s="197"/>
      <c r="T42" s="197"/>
      <c r="U42" s="197"/>
      <c r="V42" s="197"/>
      <c r="W42" s="197"/>
      <c r="X42" s="197"/>
      <c r="Y42" s="197"/>
      <c r="Z42" s="197"/>
      <c r="AA42" s="197"/>
      <c r="AB42" s="197"/>
      <c r="AC42" s="197"/>
      <c r="AD42" s="197"/>
      <c r="AE42" s="197"/>
      <c r="AF42" s="197"/>
      <c r="AG42" s="197"/>
      <c r="AH42" s="197"/>
      <c r="AI42" s="197"/>
      <c r="AJ42" s="197"/>
      <c r="AK42" s="197"/>
      <c r="AL42" s="197"/>
      <c r="AM42" s="197"/>
      <c r="AN42" s="197"/>
      <c r="AO42" s="197"/>
      <c r="AP42" s="197"/>
      <c r="AQ42" s="197"/>
      <c r="AR42" s="197"/>
      <c r="AS42" s="127"/>
      <c r="AT42" s="127"/>
      <c r="AU42" s="127"/>
      <c r="AV42" s="127"/>
    </row>
    <row r="43" spans="3:50" s="64" customFormat="1">
      <c r="C43" s="198"/>
      <c r="D43" s="199"/>
      <c r="E43" s="69"/>
      <c r="F43" s="69"/>
      <c r="G43" s="69"/>
      <c r="H43" s="69"/>
      <c r="I43" s="200"/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J43" s="200"/>
      <c r="AK43" s="200"/>
      <c r="AL43" s="200"/>
      <c r="AM43" s="200"/>
      <c r="AN43" s="200"/>
      <c r="AO43" s="200"/>
      <c r="AP43" s="200"/>
      <c r="AQ43" s="200"/>
      <c r="AR43" s="200"/>
      <c r="AS43" s="128"/>
      <c r="AT43" s="128"/>
      <c r="AU43" s="128"/>
      <c r="AV43" s="128"/>
    </row>
    <row r="44" spans="3:50" s="15" customFormat="1" outlineLevel="1">
      <c r="D44" s="16" t="s">
        <v>112</v>
      </c>
      <c r="E44" s="49"/>
      <c r="F44" s="49"/>
      <c r="G44" s="49"/>
      <c r="H44" s="49"/>
      <c r="I44" s="208"/>
      <c r="J44" s="208">
        <v>0.03</v>
      </c>
      <c r="K44" s="208">
        <v>2.8000000000000001E-2</v>
      </c>
      <c r="L44" s="208">
        <v>2.5000000000000001E-2</v>
      </c>
      <c r="M44" s="208">
        <v>0.03</v>
      </c>
      <c r="N44" s="208"/>
      <c r="O44" s="208">
        <v>2.7E-2</v>
      </c>
      <c r="P44" s="208">
        <v>2.5000000000000001E-2</v>
      </c>
      <c r="Q44" s="208">
        <v>2.1999999999999999E-2</v>
      </c>
      <c r="R44" s="208">
        <f>INDEX(R47:R49,MATCH($D$46,CECmargin,0))</f>
        <v>0.03</v>
      </c>
      <c r="S44" s="208"/>
      <c r="T44" s="208">
        <f>INDEX(T47:T49,MATCH($D$46,CECmargin,0))</f>
        <v>2.6000000000000002E-2</v>
      </c>
      <c r="U44" s="208">
        <f>INDEX(U47:U49,MATCH($D$46,CECmargin,0))</f>
        <v>2.5750000000000002E-2</v>
      </c>
      <c r="V44" s="208">
        <f>INDEX(V47:V49,MATCH($D$46,CECmargin,0))</f>
        <v>2.5937500000000002E-2</v>
      </c>
      <c r="W44" s="208">
        <f>INDEX(W47:W49,MATCH($D$46,CECmargin,0))</f>
        <v>2.6921875000000001E-2</v>
      </c>
      <c r="X44" s="208"/>
      <c r="Y44" s="208">
        <f>INDEX(Y47:Y49,MATCH($D$46,CECmargin,0))</f>
        <v>2.6000000000000002E-2</v>
      </c>
      <c r="Z44" s="208">
        <f>INDEX(Z47:Z49,MATCH($D$46,CECmargin,0))</f>
        <v>2.5750000000000002E-2</v>
      </c>
      <c r="AA44" s="208">
        <f>INDEX(AA47:AA49,MATCH($D$46,CECmargin,0))</f>
        <v>2.5937500000000002E-2</v>
      </c>
      <c r="AB44" s="208">
        <f>INDEX(AB47:AB49,MATCH($D$46,CECmargin,0))</f>
        <v>2.6921875000000001E-2</v>
      </c>
      <c r="AC44" s="208"/>
      <c r="AD44" s="208">
        <f>INDEX(AD47:AD49,MATCH($D$46,CECmargin,0))</f>
        <v>2.6000000000000002E-2</v>
      </c>
      <c r="AE44" s="208">
        <f>INDEX(AE47:AE49,MATCH($D$46,CECmargin,0))</f>
        <v>2.5750000000000002E-2</v>
      </c>
      <c r="AF44" s="208">
        <f>INDEX(AF47:AF49,MATCH($D$46,CECmargin,0))</f>
        <v>2.5937500000000002E-2</v>
      </c>
      <c r="AG44" s="208">
        <f>INDEX(AG47:AG49,MATCH($D$46,CECmargin,0))</f>
        <v>2.6921875000000001E-2</v>
      </c>
      <c r="AH44" s="208"/>
      <c r="AI44" s="208">
        <f>INDEX(AI47:AI49,MATCH($D$46,CECmargin,0))</f>
        <v>2.6000000000000002E-2</v>
      </c>
      <c r="AJ44" s="208">
        <f>INDEX(AJ47:AJ49,MATCH($D$46,CECmargin,0))</f>
        <v>2.5750000000000002E-2</v>
      </c>
      <c r="AK44" s="208">
        <f>INDEX(AK47:AK49,MATCH($D$46,CECmargin,0))</f>
        <v>2.5937500000000002E-2</v>
      </c>
      <c r="AL44" s="208">
        <f>INDEX(AL47:AL49,MATCH($D$46,CECmargin,0))</f>
        <v>2.6921875000000001E-2</v>
      </c>
      <c r="AM44" s="208"/>
      <c r="AN44" s="208">
        <f>INDEX(AN47:AN49,MATCH($D$46,CECmargin,0))</f>
        <v>2.6000000000000002E-2</v>
      </c>
      <c r="AO44" s="208">
        <f>INDEX(AO47:AO49,MATCH($D$46,CECmargin,0))</f>
        <v>2.5750000000000002E-2</v>
      </c>
      <c r="AP44" s="208">
        <f>INDEX(AP47:AP49,MATCH($D$46,CECmargin,0))</f>
        <v>2.5937500000000002E-2</v>
      </c>
      <c r="AQ44" s="208">
        <f>INDEX(AQ47:AQ49,MATCH($D$46,CECmargin,0))</f>
        <v>2.6921875000000001E-2</v>
      </c>
      <c r="AR44" s="208"/>
      <c r="AS44" s="24"/>
      <c r="AT44" s="24"/>
      <c r="AU44" s="24"/>
      <c r="AV44" s="24"/>
      <c r="AW44" s="24"/>
      <c r="AX44" s="24"/>
    </row>
    <row r="45" spans="3:50" outlineLevel="1">
      <c r="E45" s="30"/>
      <c r="F45" s="30"/>
      <c r="G45" s="30"/>
      <c r="H45" s="30"/>
      <c r="I45" s="40"/>
      <c r="J45" s="30"/>
      <c r="K45" s="30"/>
      <c r="L45" s="30"/>
      <c r="M45" s="30"/>
      <c r="N45" s="40"/>
      <c r="O45" s="30"/>
      <c r="P45" s="30"/>
      <c r="Q45" s="30"/>
      <c r="R45" s="34"/>
      <c r="S45" s="41"/>
      <c r="T45" s="34"/>
      <c r="U45" s="34"/>
      <c r="V45" s="34"/>
      <c r="W45" s="34"/>
      <c r="X45" s="41"/>
      <c r="Y45" s="34"/>
      <c r="Z45" s="34"/>
      <c r="AA45" s="34"/>
      <c r="AB45" s="34"/>
      <c r="AC45" s="41"/>
      <c r="AD45" s="34"/>
      <c r="AE45" s="34"/>
      <c r="AF45" s="34"/>
      <c r="AG45" s="34"/>
      <c r="AH45" s="41"/>
      <c r="AI45" s="34"/>
      <c r="AJ45" s="34"/>
      <c r="AK45" s="34"/>
      <c r="AL45" s="34"/>
      <c r="AM45" s="41"/>
      <c r="AN45" s="34"/>
      <c r="AO45" s="34"/>
      <c r="AP45" s="34"/>
      <c r="AQ45" s="34"/>
      <c r="AR45" s="41"/>
      <c r="AS45" s="24"/>
      <c r="AT45" s="24"/>
      <c r="AU45" s="24"/>
      <c r="AV45" s="24"/>
      <c r="AW45" s="24"/>
      <c r="AX45" s="24"/>
    </row>
    <row r="46" spans="3:50" ht="9.75" customHeight="1" outlineLevel="1">
      <c r="D46" s="5" t="s">
        <v>115</v>
      </c>
      <c r="E46" s="30"/>
      <c r="F46" s="30"/>
      <c r="G46" s="30"/>
      <c r="H46" s="30"/>
      <c r="I46" s="40"/>
      <c r="J46" s="30"/>
      <c r="K46" s="30"/>
      <c r="L46" s="30"/>
      <c r="M46" s="30"/>
      <c r="N46" s="40"/>
      <c r="O46" s="30"/>
      <c r="P46" s="30"/>
      <c r="Q46" s="30"/>
      <c r="R46" s="32"/>
      <c r="S46" s="41"/>
      <c r="T46" s="34"/>
      <c r="U46" s="34"/>
      <c r="V46" s="34"/>
      <c r="W46" s="34"/>
      <c r="X46" s="41"/>
      <c r="Y46" s="34"/>
      <c r="Z46" s="34"/>
      <c r="AA46" s="34"/>
      <c r="AB46" s="34"/>
      <c r="AC46" s="41"/>
      <c r="AD46" s="34"/>
      <c r="AE46" s="34"/>
      <c r="AF46" s="34"/>
      <c r="AG46" s="34"/>
      <c r="AH46" s="41"/>
      <c r="AI46" s="34"/>
      <c r="AJ46" s="34"/>
      <c r="AK46" s="34"/>
      <c r="AL46" s="34"/>
      <c r="AM46" s="41"/>
      <c r="AN46" s="34"/>
      <c r="AO46" s="34"/>
      <c r="AP46" s="34"/>
      <c r="AQ46" s="34"/>
      <c r="AR46" s="41"/>
      <c r="AS46" s="24"/>
      <c r="AT46" s="24"/>
      <c r="AU46" s="24"/>
      <c r="AV46" s="24"/>
      <c r="AW46" s="24"/>
      <c r="AX46" s="24"/>
    </row>
    <row r="47" spans="3:50" outlineLevel="1">
      <c r="D47" s="46" t="s">
        <v>114</v>
      </c>
      <c r="E47" s="30"/>
      <c r="F47" s="30"/>
      <c r="G47" s="30"/>
      <c r="H47" s="30"/>
      <c r="I47" s="40"/>
      <c r="J47" s="401">
        <f>J44</f>
        <v>0.03</v>
      </c>
      <c r="K47" s="401">
        <f>K44</f>
        <v>2.8000000000000001E-2</v>
      </c>
      <c r="L47" s="401">
        <f>L44</f>
        <v>2.5000000000000001E-2</v>
      </c>
      <c r="M47" s="401">
        <f>M44</f>
        <v>0.03</v>
      </c>
      <c r="N47" s="40"/>
      <c r="O47" s="401">
        <f>O44</f>
        <v>2.7E-2</v>
      </c>
      <c r="P47" s="401">
        <f>P44</f>
        <v>2.5000000000000001E-2</v>
      </c>
      <c r="Q47" s="401">
        <f>Q44</f>
        <v>2.1999999999999999E-2</v>
      </c>
      <c r="R47" s="402">
        <v>2.5000000000000001E-2</v>
      </c>
      <c r="S47" s="41"/>
      <c r="T47" s="412">
        <f>AVERAGE(O47:R47)</f>
        <v>2.4750000000000001E-2</v>
      </c>
      <c r="U47" s="412">
        <f>AVERAGE(P47:R47,T47)</f>
        <v>2.4187500000000001E-2</v>
      </c>
      <c r="V47" s="412">
        <f>AVERAGE(Q47:R47,T47:U47)</f>
        <v>2.3984375000000002E-2</v>
      </c>
      <c r="W47" s="412">
        <f>AVERAGE(R47,T47:V47)</f>
        <v>2.4480468750000001E-2</v>
      </c>
      <c r="X47" s="41"/>
      <c r="Y47" s="412">
        <f>T47</f>
        <v>2.4750000000000001E-2</v>
      </c>
      <c r="Z47" s="412">
        <f t="shared" ref="Z47:AB47" si="162">U47</f>
        <v>2.4187500000000001E-2</v>
      </c>
      <c r="AA47" s="412">
        <f t="shared" si="162"/>
        <v>2.3984375000000002E-2</v>
      </c>
      <c r="AB47" s="412">
        <f t="shared" si="162"/>
        <v>2.4480468750000001E-2</v>
      </c>
      <c r="AC47" s="41"/>
      <c r="AD47" s="412">
        <f>Y47</f>
        <v>2.4750000000000001E-2</v>
      </c>
      <c r="AE47" s="412">
        <f t="shared" ref="AE47:AE49" si="163">Z47</f>
        <v>2.4187500000000001E-2</v>
      </c>
      <c r="AF47" s="412">
        <f t="shared" ref="AF47:AF49" si="164">AA47</f>
        <v>2.3984375000000002E-2</v>
      </c>
      <c r="AG47" s="412">
        <f t="shared" ref="AG47:AG49" si="165">AB47</f>
        <v>2.4480468750000001E-2</v>
      </c>
      <c r="AH47" s="41"/>
      <c r="AI47" s="412">
        <f>AD47</f>
        <v>2.4750000000000001E-2</v>
      </c>
      <c r="AJ47" s="412">
        <f t="shared" ref="AJ47:AJ49" si="166">AE47</f>
        <v>2.4187500000000001E-2</v>
      </c>
      <c r="AK47" s="412">
        <f t="shared" ref="AK47:AK49" si="167">AF47</f>
        <v>2.3984375000000002E-2</v>
      </c>
      <c r="AL47" s="412">
        <f t="shared" ref="AL47:AL49" si="168">AG47</f>
        <v>2.4480468750000001E-2</v>
      </c>
      <c r="AM47" s="41"/>
      <c r="AN47" s="412">
        <f>AI47</f>
        <v>2.4750000000000001E-2</v>
      </c>
      <c r="AO47" s="412">
        <f t="shared" ref="AO47:AO49" si="169">AJ47</f>
        <v>2.4187500000000001E-2</v>
      </c>
      <c r="AP47" s="412">
        <f t="shared" ref="AP47:AP49" si="170">AK47</f>
        <v>2.3984375000000002E-2</v>
      </c>
      <c r="AQ47" s="412">
        <f t="shared" ref="AQ47:AQ49" si="171">AL47</f>
        <v>2.4480468750000001E-2</v>
      </c>
      <c r="AR47" s="41"/>
      <c r="AS47" s="24"/>
      <c r="AT47" s="24"/>
      <c r="AU47" s="24"/>
      <c r="AV47" s="24"/>
      <c r="AW47" s="24"/>
      <c r="AX47" s="24"/>
    </row>
    <row r="48" spans="3:50" outlineLevel="1">
      <c r="D48" s="46" t="s">
        <v>115</v>
      </c>
      <c r="E48" s="30"/>
      <c r="F48" s="30"/>
      <c r="G48" s="30"/>
      <c r="H48" s="30"/>
      <c r="I48" s="40"/>
      <c r="J48" s="401">
        <f t="shared" ref="J48" si="172">J47</f>
        <v>0.03</v>
      </c>
      <c r="K48" s="401">
        <f t="shared" ref="K48:M49" si="173">K47</f>
        <v>2.8000000000000001E-2</v>
      </c>
      <c r="L48" s="401">
        <f t="shared" si="173"/>
        <v>2.5000000000000001E-2</v>
      </c>
      <c r="M48" s="401">
        <f t="shared" si="173"/>
        <v>0.03</v>
      </c>
      <c r="N48" s="40"/>
      <c r="O48" s="401">
        <f>O47</f>
        <v>2.7E-2</v>
      </c>
      <c r="P48" s="401">
        <f>P47</f>
        <v>2.5000000000000001E-2</v>
      </c>
      <c r="Q48" s="401">
        <v>2.1999999999999999E-2</v>
      </c>
      <c r="R48" s="402">
        <v>0.03</v>
      </c>
      <c r="S48" s="41"/>
      <c r="T48" s="412">
        <f t="shared" ref="T48:T49" si="174">AVERAGE(O48:R48)</f>
        <v>2.6000000000000002E-2</v>
      </c>
      <c r="U48" s="412">
        <f t="shared" ref="U48:U49" si="175">AVERAGE(P48:R48,T48)</f>
        <v>2.5750000000000002E-2</v>
      </c>
      <c r="V48" s="412">
        <f t="shared" ref="V48:V49" si="176">AVERAGE(Q48:R48,T48:U48)</f>
        <v>2.5937500000000002E-2</v>
      </c>
      <c r="W48" s="412">
        <f t="shared" ref="W48:W49" si="177">AVERAGE(R48,T48:V48)</f>
        <v>2.6921875000000001E-2</v>
      </c>
      <c r="X48" s="41"/>
      <c r="Y48" s="412">
        <f t="shared" ref="Y48:Y49" si="178">T48</f>
        <v>2.6000000000000002E-2</v>
      </c>
      <c r="Z48" s="412">
        <f t="shared" ref="Z48:Z49" si="179">U48</f>
        <v>2.5750000000000002E-2</v>
      </c>
      <c r="AA48" s="412">
        <f t="shared" ref="AA48:AA49" si="180">V48</f>
        <v>2.5937500000000002E-2</v>
      </c>
      <c r="AB48" s="412">
        <f t="shared" ref="AB48:AB49" si="181">W48</f>
        <v>2.6921875000000001E-2</v>
      </c>
      <c r="AC48" s="41"/>
      <c r="AD48" s="412">
        <f t="shared" ref="AD48:AD49" si="182">Y48</f>
        <v>2.6000000000000002E-2</v>
      </c>
      <c r="AE48" s="412">
        <f t="shared" si="163"/>
        <v>2.5750000000000002E-2</v>
      </c>
      <c r="AF48" s="412">
        <f t="shared" si="164"/>
        <v>2.5937500000000002E-2</v>
      </c>
      <c r="AG48" s="412">
        <f t="shared" si="165"/>
        <v>2.6921875000000001E-2</v>
      </c>
      <c r="AH48" s="41"/>
      <c r="AI48" s="412">
        <f t="shared" ref="AI48:AI49" si="183">AD48</f>
        <v>2.6000000000000002E-2</v>
      </c>
      <c r="AJ48" s="412">
        <f t="shared" si="166"/>
        <v>2.5750000000000002E-2</v>
      </c>
      <c r="AK48" s="412">
        <f t="shared" si="167"/>
        <v>2.5937500000000002E-2</v>
      </c>
      <c r="AL48" s="412">
        <f t="shared" si="168"/>
        <v>2.6921875000000001E-2</v>
      </c>
      <c r="AM48" s="41"/>
      <c r="AN48" s="412">
        <f t="shared" ref="AN48:AN49" si="184">AI48</f>
        <v>2.6000000000000002E-2</v>
      </c>
      <c r="AO48" s="412">
        <f t="shared" si="169"/>
        <v>2.5750000000000002E-2</v>
      </c>
      <c r="AP48" s="412">
        <f t="shared" si="170"/>
        <v>2.5937500000000002E-2</v>
      </c>
      <c r="AQ48" s="412">
        <f t="shared" si="171"/>
        <v>2.6921875000000001E-2</v>
      </c>
      <c r="AR48" s="41"/>
      <c r="AS48" s="24"/>
      <c r="AT48" s="24"/>
      <c r="AU48" s="24"/>
      <c r="AV48" s="24"/>
      <c r="AW48" s="24"/>
      <c r="AX48" s="24"/>
    </row>
    <row r="49" spans="4:50" outlineLevel="1">
      <c r="D49" s="46" t="s">
        <v>116</v>
      </c>
      <c r="E49" s="30"/>
      <c r="F49" s="30"/>
      <c r="G49" s="30"/>
      <c r="H49" s="30"/>
      <c r="I49" s="40"/>
      <c r="J49" s="401">
        <f t="shared" ref="J49" si="185">J48</f>
        <v>0.03</v>
      </c>
      <c r="K49" s="401">
        <f t="shared" si="173"/>
        <v>2.8000000000000001E-2</v>
      </c>
      <c r="L49" s="401">
        <f t="shared" si="173"/>
        <v>2.5000000000000001E-2</v>
      </c>
      <c r="M49" s="401">
        <f t="shared" si="173"/>
        <v>0.03</v>
      </c>
      <c r="N49" s="40"/>
      <c r="O49" s="401">
        <f>O48</f>
        <v>2.7E-2</v>
      </c>
      <c r="P49" s="401">
        <f>P48</f>
        <v>2.5000000000000001E-2</v>
      </c>
      <c r="Q49" s="401">
        <v>2.1999999999999999E-2</v>
      </c>
      <c r="R49" s="402">
        <v>3.5000000000000003E-2</v>
      </c>
      <c r="S49" s="41"/>
      <c r="T49" s="412">
        <f t="shared" si="174"/>
        <v>2.7250000000000003E-2</v>
      </c>
      <c r="U49" s="412">
        <f t="shared" si="175"/>
        <v>2.7312500000000003E-2</v>
      </c>
      <c r="V49" s="412">
        <f t="shared" si="176"/>
        <v>2.7890625000000002E-2</v>
      </c>
      <c r="W49" s="412">
        <f t="shared" si="177"/>
        <v>2.9363281250000005E-2</v>
      </c>
      <c r="X49" s="41"/>
      <c r="Y49" s="412">
        <f t="shared" si="178"/>
        <v>2.7250000000000003E-2</v>
      </c>
      <c r="Z49" s="412">
        <f t="shared" si="179"/>
        <v>2.7312500000000003E-2</v>
      </c>
      <c r="AA49" s="412">
        <f t="shared" si="180"/>
        <v>2.7890625000000002E-2</v>
      </c>
      <c r="AB49" s="412">
        <f t="shared" si="181"/>
        <v>2.9363281250000005E-2</v>
      </c>
      <c r="AC49" s="41"/>
      <c r="AD49" s="412">
        <f t="shared" si="182"/>
        <v>2.7250000000000003E-2</v>
      </c>
      <c r="AE49" s="412">
        <f t="shared" si="163"/>
        <v>2.7312500000000003E-2</v>
      </c>
      <c r="AF49" s="412">
        <f t="shared" si="164"/>
        <v>2.7890625000000002E-2</v>
      </c>
      <c r="AG49" s="412">
        <f t="shared" si="165"/>
        <v>2.9363281250000005E-2</v>
      </c>
      <c r="AH49" s="41"/>
      <c r="AI49" s="412">
        <f t="shared" si="183"/>
        <v>2.7250000000000003E-2</v>
      </c>
      <c r="AJ49" s="412">
        <f t="shared" si="166"/>
        <v>2.7312500000000003E-2</v>
      </c>
      <c r="AK49" s="412">
        <f t="shared" si="167"/>
        <v>2.7890625000000002E-2</v>
      </c>
      <c r="AL49" s="412">
        <f t="shared" si="168"/>
        <v>2.9363281250000005E-2</v>
      </c>
      <c r="AM49" s="41"/>
      <c r="AN49" s="412">
        <f t="shared" si="184"/>
        <v>2.7250000000000003E-2</v>
      </c>
      <c r="AO49" s="412">
        <f t="shared" si="169"/>
        <v>2.7312500000000003E-2</v>
      </c>
      <c r="AP49" s="412">
        <f t="shared" si="170"/>
        <v>2.7890625000000002E-2</v>
      </c>
      <c r="AQ49" s="412">
        <f t="shared" si="171"/>
        <v>2.9363281250000005E-2</v>
      </c>
      <c r="AR49" s="41"/>
      <c r="AS49" s="24"/>
      <c r="AT49" s="24"/>
      <c r="AU49" s="24"/>
      <c r="AV49" s="24"/>
      <c r="AW49" s="24"/>
      <c r="AX49" s="24"/>
    </row>
    <row r="50" spans="4:50" outlineLevel="1">
      <c r="E50" s="30"/>
      <c r="F50" s="30"/>
      <c r="G50" s="30"/>
      <c r="H50" s="30"/>
      <c r="I50" s="40"/>
      <c r="J50" s="30"/>
      <c r="K50" s="30"/>
      <c r="L50" s="30"/>
      <c r="M50" s="30"/>
      <c r="N50" s="40"/>
      <c r="O50" s="30"/>
      <c r="P50" s="30"/>
      <c r="Q50" s="30"/>
      <c r="R50" s="34"/>
      <c r="S50" s="41"/>
      <c r="T50" s="34"/>
      <c r="U50" s="34"/>
      <c r="V50" s="34"/>
      <c r="W50" s="34"/>
      <c r="X50" s="41"/>
      <c r="Y50" s="34"/>
      <c r="Z50" s="34"/>
      <c r="AA50" s="34"/>
      <c r="AB50" s="34"/>
      <c r="AC50" s="41"/>
      <c r="AD50" s="34"/>
      <c r="AE50" s="34"/>
      <c r="AF50" s="34"/>
      <c r="AG50" s="34"/>
      <c r="AH50" s="41"/>
      <c r="AI50" s="34"/>
      <c r="AJ50" s="34"/>
      <c r="AK50" s="34"/>
      <c r="AL50" s="34"/>
      <c r="AM50" s="41"/>
      <c r="AN50" s="34"/>
      <c r="AO50" s="34"/>
      <c r="AP50" s="34"/>
      <c r="AQ50" s="34"/>
      <c r="AR50" s="41"/>
      <c r="AS50" s="24"/>
      <c r="AT50" s="24"/>
      <c r="AU50" s="24"/>
      <c r="AV50" s="24"/>
      <c r="AW50" s="24"/>
      <c r="AX50" s="24"/>
    </row>
    <row r="51" spans="4:50" outlineLevel="1">
      <c r="E51" s="30"/>
      <c r="F51" s="30"/>
      <c r="G51" s="30"/>
      <c r="H51" s="30"/>
      <c r="I51" s="40"/>
      <c r="J51" s="30"/>
      <c r="K51" s="30"/>
      <c r="L51" s="30"/>
      <c r="M51" s="30"/>
      <c r="N51" s="40"/>
      <c r="O51" s="30"/>
      <c r="P51" s="30"/>
      <c r="Q51" s="30"/>
      <c r="R51" s="34"/>
      <c r="S51" s="41"/>
      <c r="T51" s="34"/>
      <c r="U51" s="34"/>
      <c r="V51" s="34"/>
      <c r="W51" s="34"/>
      <c r="X51" s="41"/>
      <c r="Y51" s="34"/>
      <c r="Z51" s="34"/>
      <c r="AA51" s="34"/>
      <c r="AB51" s="34"/>
      <c r="AC51" s="41"/>
      <c r="AD51" s="34"/>
      <c r="AE51" s="34"/>
      <c r="AF51" s="34"/>
      <c r="AG51" s="34"/>
      <c r="AH51" s="41"/>
      <c r="AI51" s="34"/>
      <c r="AJ51" s="34"/>
      <c r="AK51" s="34"/>
      <c r="AL51" s="34"/>
      <c r="AM51" s="41"/>
      <c r="AN51" s="34"/>
      <c r="AO51" s="34"/>
      <c r="AP51" s="34"/>
      <c r="AQ51" s="34"/>
      <c r="AR51" s="41"/>
      <c r="AS51" s="24"/>
      <c r="AT51" s="24"/>
      <c r="AU51" s="24"/>
      <c r="AV51" s="24"/>
      <c r="AW51" s="24"/>
      <c r="AX51" s="24"/>
    </row>
    <row r="52" spans="4:50" s="23" customFormat="1" outlineLevel="1">
      <c r="D52" s="17" t="s">
        <v>113</v>
      </c>
      <c r="E52" s="60"/>
      <c r="F52" s="60"/>
      <c r="G52" s="60"/>
      <c r="H52" s="60"/>
      <c r="I52" s="61"/>
      <c r="J52" s="60">
        <v>2.3E-2</v>
      </c>
      <c r="K52" s="60">
        <v>1.9E-2</v>
      </c>
      <c r="L52" s="60">
        <v>3.3000000000000002E-2</v>
      </c>
      <c r="M52" s="60">
        <v>3.2000000000000001E-2</v>
      </c>
      <c r="N52" s="61"/>
      <c r="O52" s="60">
        <v>2.7E-2</v>
      </c>
      <c r="P52" s="60">
        <v>1.2E-2</v>
      </c>
      <c r="Q52" s="60">
        <v>1.7999999999999999E-2</v>
      </c>
      <c r="R52" s="60">
        <f>INDEX(R55:R57,MATCH($D$54,CTGrev,0))</f>
        <v>0.03</v>
      </c>
      <c r="S52" s="61"/>
      <c r="T52" s="60">
        <f>INDEX(T55:T57,MATCH($D$54,CTGrev,0))</f>
        <v>2.1749999999999999E-2</v>
      </c>
      <c r="U52" s="60">
        <f>INDEX(U55:U57,MATCH($D$54,CTGrev,0))</f>
        <v>2.0437499999999997E-2</v>
      </c>
      <c r="V52" s="60">
        <f>INDEX(V55:V57,MATCH($D$54,CTGrev,0))</f>
        <v>2.2546875000000001E-2</v>
      </c>
      <c r="W52" s="60">
        <f>INDEX(W55:W57,MATCH($D$54,CTGrev,0))</f>
        <v>2.3683593749999995E-2</v>
      </c>
      <c r="X52" s="61"/>
      <c r="Y52" s="60">
        <f>INDEX(Y55:Y57,MATCH($D$54,CTGrev,0))</f>
        <v>2.1749999999999999E-2</v>
      </c>
      <c r="Z52" s="60">
        <f>INDEX(Z55:Z57,MATCH($D$54,CTGrev,0))</f>
        <v>2.0437499999999997E-2</v>
      </c>
      <c r="AA52" s="60">
        <f>INDEX(AA55:AA57,MATCH($D$54,CTGrev,0))</f>
        <v>2.2546875000000001E-2</v>
      </c>
      <c r="AB52" s="60">
        <f>INDEX(AB55:AB57,MATCH($D$54,CTGrev,0))</f>
        <v>2.3683593749999995E-2</v>
      </c>
      <c r="AC52" s="61"/>
      <c r="AD52" s="60">
        <f>INDEX(AD55:AD57,MATCH($D$54,CTGrev,0))</f>
        <v>2.1749999999999999E-2</v>
      </c>
      <c r="AE52" s="60">
        <f>INDEX(AE55:AE57,MATCH($D$54,CTGrev,0))</f>
        <v>2.0437499999999997E-2</v>
      </c>
      <c r="AF52" s="60">
        <f>INDEX(AF55:AF57,MATCH($D$54,CTGrev,0))</f>
        <v>2.2546875000000001E-2</v>
      </c>
      <c r="AG52" s="60">
        <f>INDEX(AG55:AG57,MATCH($D$54,CTGrev,0))</f>
        <v>2.3683593749999995E-2</v>
      </c>
      <c r="AH52" s="61"/>
      <c r="AI52" s="60">
        <f>INDEX(AI55:AI57,MATCH($D$54,CTGrev,0))</f>
        <v>2.1749999999999999E-2</v>
      </c>
      <c r="AJ52" s="60">
        <f>INDEX(AJ55:AJ57,MATCH($D$54,CTGrev,0))</f>
        <v>2.0437499999999997E-2</v>
      </c>
      <c r="AK52" s="60">
        <f>INDEX(AK55:AK57,MATCH($D$54,CTGrev,0))</f>
        <v>2.2546875000000001E-2</v>
      </c>
      <c r="AL52" s="60">
        <f>INDEX(AL55:AL57,MATCH($D$54,CTGrev,0))</f>
        <v>2.3683593749999995E-2</v>
      </c>
      <c r="AM52" s="61"/>
      <c r="AN52" s="60">
        <f>INDEX(AN55:AN57,MATCH($D$54,CTGrev,0))</f>
        <v>2.1749999999999999E-2</v>
      </c>
      <c r="AO52" s="60">
        <f>INDEX(AO55:AO57,MATCH($D$54,CTGrev,0))</f>
        <v>2.0437499999999997E-2</v>
      </c>
      <c r="AP52" s="60">
        <f>INDEX(AP55:AP57,MATCH($D$54,CTGrev,0))</f>
        <v>2.2546875000000001E-2</v>
      </c>
      <c r="AQ52" s="60">
        <f>INDEX(AQ55:AQ57,MATCH($D$54,CTGrev,0))</f>
        <v>2.3683593749999995E-2</v>
      </c>
      <c r="AR52" s="61"/>
      <c r="AS52" s="57"/>
      <c r="AT52" s="57"/>
      <c r="AU52" s="57"/>
      <c r="AV52" s="57"/>
      <c r="AW52" s="57"/>
      <c r="AX52" s="57"/>
    </row>
    <row r="53" spans="4:50" ht="23.25" customHeight="1" outlineLevel="1">
      <c r="E53" s="30"/>
      <c r="F53" s="30"/>
      <c r="G53" s="30"/>
      <c r="H53" s="30"/>
      <c r="I53" s="40"/>
      <c r="J53" s="30"/>
      <c r="K53" s="30"/>
      <c r="L53" s="30"/>
      <c r="M53" s="30"/>
      <c r="N53" s="40"/>
      <c r="O53" s="30"/>
      <c r="P53" s="30"/>
      <c r="Q53" s="30"/>
      <c r="R53" s="34"/>
      <c r="S53" s="41"/>
      <c r="T53" s="34"/>
      <c r="U53" s="34"/>
      <c r="V53" s="34"/>
      <c r="W53" s="34"/>
      <c r="X53" s="41"/>
      <c r="Y53" s="34"/>
      <c r="Z53" s="34"/>
      <c r="AA53" s="34"/>
      <c r="AB53" s="34"/>
      <c r="AC53" s="41"/>
      <c r="AD53" s="34"/>
      <c r="AE53" s="34"/>
      <c r="AF53" s="34"/>
      <c r="AG53" s="34"/>
      <c r="AH53" s="41"/>
      <c r="AI53" s="34"/>
      <c r="AJ53" s="34"/>
      <c r="AK53" s="34"/>
      <c r="AL53" s="34"/>
      <c r="AM53" s="41"/>
      <c r="AN53" s="34"/>
      <c r="AO53" s="34"/>
      <c r="AP53" s="34"/>
      <c r="AQ53" s="34"/>
      <c r="AR53" s="41"/>
      <c r="AS53" s="24"/>
      <c r="AT53" s="24"/>
      <c r="AU53" s="24"/>
      <c r="AV53" s="24"/>
      <c r="AW53" s="24"/>
      <c r="AX53" s="24"/>
    </row>
    <row r="54" spans="4:50" hidden="1" outlineLevel="1">
      <c r="D54" s="5" t="s">
        <v>115</v>
      </c>
      <c r="E54" s="30"/>
      <c r="F54" s="30"/>
      <c r="G54" s="30"/>
      <c r="H54" s="30"/>
      <c r="I54" s="40"/>
      <c r="J54" s="30"/>
      <c r="K54" s="30"/>
      <c r="L54" s="30"/>
      <c r="M54" s="30"/>
      <c r="N54" s="40"/>
      <c r="O54" s="30"/>
      <c r="P54" s="30"/>
      <c r="Q54" s="30"/>
      <c r="R54" s="32"/>
      <c r="S54" s="41"/>
      <c r="T54" s="34"/>
      <c r="U54" s="34"/>
      <c r="V54" s="34"/>
      <c r="W54" s="34"/>
      <c r="X54" s="41"/>
      <c r="Y54" s="34"/>
      <c r="Z54" s="34"/>
      <c r="AA54" s="34"/>
      <c r="AB54" s="34"/>
      <c r="AC54" s="41"/>
      <c r="AD54" s="34"/>
      <c r="AE54" s="34"/>
      <c r="AF54" s="34"/>
      <c r="AG54" s="34"/>
      <c r="AH54" s="41"/>
      <c r="AI54" s="34"/>
      <c r="AJ54" s="34"/>
      <c r="AK54" s="34"/>
      <c r="AL54" s="34"/>
      <c r="AM54" s="41"/>
      <c r="AN54" s="34"/>
      <c r="AO54" s="34"/>
      <c r="AP54" s="34"/>
      <c r="AQ54" s="34"/>
      <c r="AR54" s="41"/>
      <c r="AS54" s="24"/>
      <c r="AT54" s="24"/>
      <c r="AU54" s="24"/>
      <c r="AV54" s="24"/>
      <c r="AW54" s="24"/>
      <c r="AX54" s="24"/>
    </row>
    <row r="55" spans="4:50" outlineLevel="1">
      <c r="D55" s="46" t="s">
        <v>114</v>
      </c>
      <c r="E55" s="30"/>
      <c r="F55" s="30"/>
      <c r="G55" s="30"/>
      <c r="H55" s="30"/>
      <c r="I55" s="40"/>
      <c r="J55" s="401">
        <f>J52</f>
        <v>2.3E-2</v>
      </c>
      <c r="K55" s="401">
        <f>K52</f>
        <v>1.9E-2</v>
      </c>
      <c r="L55" s="401">
        <f>L52</f>
        <v>3.3000000000000002E-2</v>
      </c>
      <c r="M55" s="401">
        <f>M52</f>
        <v>3.2000000000000001E-2</v>
      </c>
      <c r="N55" s="40"/>
      <c r="O55" s="401">
        <f>O52</f>
        <v>2.7E-2</v>
      </c>
      <c r="P55" s="401">
        <f>P52</f>
        <v>1.2E-2</v>
      </c>
      <c r="Q55" s="401">
        <v>1.7999999999999999E-2</v>
      </c>
      <c r="R55" s="402">
        <v>0.02</v>
      </c>
      <c r="S55" s="41"/>
      <c r="T55" s="412">
        <f>AVERAGE(O55:R55)</f>
        <v>1.925E-2</v>
      </c>
      <c r="U55" s="412">
        <f>AVERAGE(P55:R55,T55)</f>
        <v>1.7312500000000001E-2</v>
      </c>
      <c r="V55" s="412">
        <f>AVERAGE(Q55:R55,T55:U55)</f>
        <v>1.8640625000000001E-2</v>
      </c>
      <c r="W55" s="412">
        <f>AVERAGE(R55,T55:V55)</f>
        <v>1.8800781250000002E-2</v>
      </c>
      <c r="X55" s="41"/>
      <c r="Y55" s="412">
        <f>T55</f>
        <v>1.925E-2</v>
      </c>
      <c r="Z55" s="412">
        <f t="shared" ref="Z55:Z57" si="186">U55</f>
        <v>1.7312500000000001E-2</v>
      </c>
      <c r="AA55" s="412">
        <f t="shared" ref="AA55:AA57" si="187">V55</f>
        <v>1.8640625000000001E-2</v>
      </c>
      <c r="AB55" s="412">
        <f t="shared" ref="AB55:AB57" si="188">W55</f>
        <v>1.8800781250000002E-2</v>
      </c>
      <c r="AC55" s="41"/>
      <c r="AD55" s="412">
        <f>Y55</f>
        <v>1.925E-2</v>
      </c>
      <c r="AE55" s="412">
        <f t="shared" ref="AE55:AE57" si="189">Z55</f>
        <v>1.7312500000000001E-2</v>
      </c>
      <c r="AF55" s="412">
        <f t="shared" ref="AF55:AF57" si="190">AA55</f>
        <v>1.8640625000000001E-2</v>
      </c>
      <c r="AG55" s="412">
        <f t="shared" ref="AG55:AG57" si="191">AB55</f>
        <v>1.8800781250000002E-2</v>
      </c>
      <c r="AH55" s="41"/>
      <c r="AI55" s="412">
        <f>AD55</f>
        <v>1.925E-2</v>
      </c>
      <c r="AJ55" s="412">
        <f t="shared" ref="AJ55:AJ57" si="192">AE55</f>
        <v>1.7312500000000001E-2</v>
      </c>
      <c r="AK55" s="412">
        <f t="shared" ref="AK55:AK57" si="193">AF55</f>
        <v>1.8640625000000001E-2</v>
      </c>
      <c r="AL55" s="412">
        <f t="shared" ref="AL55:AL57" si="194">AG55</f>
        <v>1.8800781250000002E-2</v>
      </c>
      <c r="AM55" s="41"/>
      <c r="AN55" s="412">
        <f>AI55</f>
        <v>1.925E-2</v>
      </c>
      <c r="AO55" s="412">
        <f t="shared" ref="AO55:AO57" si="195">AJ55</f>
        <v>1.7312500000000001E-2</v>
      </c>
      <c r="AP55" s="412">
        <f t="shared" ref="AP55:AP57" si="196">AK55</f>
        <v>1.8640625000000001E-2</v>
      </c>
      <c r="AQ55" s="412">
        <f t="shared" ref="AQ55:AQ57" si="197">AL55</f>
        <v>1.8800781250000002E-2</v>
      </c>
      <c r="AR55" s="41"/>
      <c r="AS55" s="24"/>
      <c r="AT55" s="24"/>
      <c r="AU55" s="24"/>
      <c r="AV55" s="24"/>
      <c r="AW55" s="24"/>
      <c r="AX55" s="24"/>
    </row>
    <row r="56" spans="4:50" outlineLevel="1">
      <c r="D56" s="46" t="s">
        <v>115</v>
      </c>
      <c r="E56" s="30"/>
      <c r="F56" s="30"/>
      <c r="G56" s="30"/>
      <c r="H56" s="30"/>
      <c r="I56" s="40"/>
      <c r="J56" s="401">
        <f t="shared" ref="J56" si="198">J55</f>
        <v>2.3E-2</v>
      </c>
      <c r="K56" s="401">
        <f t="shared" ref="K56:M57" si="199">K55</f>
        <v>1.9E-2</v>
      </c>
      <c r="L56" s="401">
        <f t="shared" si="199"/>
        <v>3.3000000000000002E-2</v>
      </c>
      <c r="M56" s="401">
        <f t="shared" si="199"/>
        <v>3.2000000000000001E-2</v>
      </c>
      <c r="N56" s="40"/>
      <c r="O56" s="401">
        <f>O55</f>
        <v>2.7E-2</v>
      </c>
      <c r="P56" s="401">
        <f>P55</f>
        <v>1.2E-2</v>
      </c>
      <c r="Q56" s="401">
        <v>1.7999999999999999E-2</v>
      </c>
      <c r="R56" s="402">
        <v>0.03</v>
      </c>
      <c r="S56" s="41"/>
      <c r="T56" s="412">
        <f t="shared" ref="T56:T57" si="200">AVERAGE(O56:R56)</f>
        <v>2.1749999999999999E-2</v>
      </c>
      <c r="U56" s="412">
        <f t="shared" ref="U56:U57" si="201">AVERAGE(P56:R56,T56)</f>
        <v>2.0437499999999997E-2</v>
      </c>
      <c r="V56" s="412">
        <f t="shared" ref="V56:V57" si="202">AVERAGE(Q56:R56,T56:U56)</f>
        <v>2.2546875000000001E-2</v>
      </c>
      <c r="W56" s="412">
        <f t="shared" ref="W56:W57" si="203">AVERAGE(R56,T56:V56)</f>
        <v>2.3683593749999995E-2</v>
      </c>
      <c r="X56" s="41"/>
      <c r="Y56" s="412">
        <f t="shared" ref="Y56:Y57" si="204">T56</f>
        <v>2.1749999999999999E-2</v>
      </c>
      <c r="Z56" s="412">
        <f t="shared" si="186"/>
        <v>2.0437499999999997E-2</v>
      </c>
      <c r="AA56" s="412">
        <f t="shared" si="187"/>
        <v>2.2546875000000001E-2</v>
      </c>
      <c r="AB56" s="412">
        <f t="shared" si="188"/>
        <v>2.3683593749999995E-2</v>
      </c>
      <c r="AC56" s="41"/>
      <c r="AD56" s="412">
        <f t="shared" ref="AD56:AD57" si="205">Y56</f>
        <v>2.1749999999999999E-2</v>
      </c>
      <c r="AE56" s="412">
        <f t="shared" si="189"/>
        <v>2.0437499999999997E-2</v>
      </c>
      <c r="AF56" s="412">
        <f t="shared" si="190"/>
        <v>2.2546875000000001E-2</v>
      </c>
      <c r="AG56" s="412">
        <f t="shared" si="191"/>
        <v>2.3683593749999995E-2</v>
      </c>
      <c r="AH56" s="41"/>
      <c r="AI56" s="412">
        <f t="shared" ref="AI56:AI57" si="206">AD56</f>
        <v>2.1749999999999999E-2</v>
      </c>
      <c r="AJ56" s="412">
        <f t="shared" si="192"/>
        <v>2.0437499999999997E-2</v>
      </c>
      <c r="AK56" s="412">
        <f t="shared" si="193"/>
        <v>2.2546875000000001E-2</v>
      </c>
      <c r="AL56" s="412">
        <f t="shared" si="194"/>
        <v>2.3683593749999995E-2</v>
      </c>
      <c r="AM56" s="41"/>
      <c r="AN56" s="412">
        <f t="shared" ref="AN56:AN57" si="207">AI56</f>
        <v>2.1749999999999999E-2</v>
      </c>
      <c r="AO56" s="412">
        <f t="shared" si="195"/>
        <v>2.0437499999999997E-2</v>
      </c>
      <c r="AP56" s="412">
        <f t="shared" si="196"/>
        <v>2.2546875000000001E-2</v>
      </c>
      <c r="AQ56" s="412">
        <f t="shared" si="197"/>
        <v>2.3683593749999995E-2</v>
      </c>
      <c r="AR56" s="41"/>
      <c r="AS56" s="24"/>
      <c r="AT56" s="24"/>
      <c r="AU56" s="24"/>
      <c r="AV56" s="24"/>
      <c r="AW56" s="24"/>
      <c r="AX56" s="24"/>
    </row>
    <row r="57" spans="4:50" outlineLevel="1">
      <c r="D57" s="46" t="s">
        <v>116</v>
      </c>
      <c r="E57" s="30"/>
      <c r="F57" s="30"/>
      <c r="G57" s="30"/>
      <c r="H57" s="30"/>
      <c r="I57" s="40"/>
      <c r="J57" s="401">
        <f t="shared" ref="J57" si="208">J56</f>
        <v>2.3E-2</v>
      </c>
      <c r="K57" s="401">
        <f t="shared" si="199"/>
        <v>1.9E-2</v>
      </c>
      <c r="L57" s="401">
        <f t="shared" si="199"/>
        <v>3.3000000000000002E-2</v>
      </c>
      <c r="M57" s="401">
        <f t="shared" si="199"/>
        <v>3.2000000000000001E-2</v>
      </c>
      <c r="N57" s="40"/>
      <c r="O57" s="401">
        <f>O56</f>
        <v>2.7E-2</v>
      </c>
      <c r="P57" s="401">
        <f>P56</f>
        <v>1.2E-2</v>
      </c>
      <c r="Q57" s="401">
        <v>1.7999999999999999E-2</v>
      </c>
      <c r="R57" s="402">
        <v>0.04</v>
      </c>
      <c r="S57" s="41"/>
      <c r="T57" s="412">
        <f t="shared" si="200"/>
        <v>2.4250000000000001E-2</v>
      </c>
      <c r="U57" s="412">
        <f t="shared" si="201"/>
        <v>2.35625E-2</v>
      </c>
      <c r="V57" s="412">
        <f t="shared" si="202"/>
        <v>2.6453124999999997E-2</v>
      </c>
      <c r="W57" s="412">
        <f t="shared" si="203"/>
        <v>2.8566406249999999E-2</v>
      </c>
      <c r="X57" s="41"/>
      <c r="Y57" s="412">
        <f t="shared" si="204"/>
        <v>2.4250000000000001E-2</v>
      </c>
      <c r="Z57" s="412">
        <f t="shared" si="186"/>
        <v>2.35625E-2</v>
      </c>
      <c r="AA57" s="412">
        <f t="shared" si="187"/>
        <v>2.6453124999999997E-2</v>
      </c>
      <c r="AB57" s="412">
        <f t="shared" si="188"/>
        <v>2.8566406249999999E-2</v>
      </c>
      <c r="AC57" s="41"/>
      <c r="AD57" s="412">
        <f t="shared" si="205"/>
        <v>2.4250000000000001E-2</v>
      </c>
      <c r="AE57" s="412">
        <f t="shared" si="189"/>
        <v>2.35625E-2</v>
      </c>
      <c r="AF57" s="412">
        <f t="shared" si="190"/>
        <v>2.6453124999999997E-2</v>
      </c>
      <c r="AG57" s="412">
        <f t="shared" si="191"/>
        <v>2.8566406249999999E-2</v>
      </c>
      <c r="AH57" s="41"/>
      <c r="AI57" s="412">
        <f t="shared" si="206"/>
        <v>2.4250000000000001E-2</v>
      </c>
      <c r="AJ57" s="412">
        <f t="shared" si="192"/>
        <v>2.35625E-2</v>
      </c>
      <c r="AK57" s="412">
        <f t="shared" si="193"/>
        <v>2.6453124999999997E-2</v>
      </c>
      <c r="AL57" s="412">
        <f t="shared" si="194"/>
        <v>2.8566406249999999E-2</v>
      </c>
      <c r="AM57" s="41"/>
      <c r="AN57" s="412">
        <f t="shared" si="207"/>
        <v>2.4250000000000001E-2</v>
      </c>
      <c r="AO57" s="412">
        <f t="shared" si="195"/>
        <v>2.35625E-2</v>
      </c>
      <c r="AP57" s="412">
        <f t="shared" si="196"/>
        <v>2.6453124999999997E-2</v>
      </c>
      <c r="AQ57" s="412">
        <f t="shared" si="197"/>
        <v>2.8566406249999999E-2</v>
      </c>
      <c r="AR57" s="41"/>
      <c r="AS57" s="24"/>
      <c r="AT57" s="24"/>
      <c r="AU57" s="24"/>
      <c r="AV57" s="24"/>
      <c r="AW57" s="24"/>
      <c r="AX57" s="24"/>
    </row>
    <row r="58" spans="4:50" outlineLevel="1">
      <c r="E58" s="30"/>
      <c r="F58" s="30"/>
      <c r="G58" s="30"/>
      <c r="H58" s="30"/>
      <c r="I58" s="40"/>
      <c r="J58" s="30"/>
      <c r="K58" s="30"/>
      <c r="L58" s="30"/>
      <c r="M58" s="30"/>
      <c r="N58" s="40"/>
      <c r="O58" s="30"/>
      <c r="P58" s="30"/>
      <c r="Q58" s="30"/>
      <c r="R58" s="34"/>
      <c r="S58" s="41"/>
      <c r="T58" s="34"/>
      <c r="U58" s="34"/>
      <c r="V58" s="34"/>
      <c r="W58" s="34"/>
      <c r="X58" s="41"/>
      <c r="Y58" s="34"/>
      <c r="Z58" s="34"/>
      <c r="AA58" s="34"/>
      <c r="AB58" s="34"/>
      <c r="AC58" s="41"/>
      <c r="AD58" s="34"/>
      <c r="AE58" s="34"/>
      <c r="AF58" s="34"/>
      <c r="AG58" s="34"/>
      <c r="AH58" s="41"/>
      <c r="AI58" s="34"/>
      <c r="AJ58" s="34"/>
      <c r="AK58" s="34"/>
      <c r="AL58" s="34"/>
      <c r="AM58" s="41"/>
      <c r="AN58" s="34"/>
      <c r="AO58" s="34"/>
      <c r="AP58" s="34"/>
      <c r="AQ58" s="34"/>
      <c r="AR58" s="41"/>
      <c r="AS58" s="24"/>
      <c r="AT58" s="24"/>
      <c r="AU58" s="24"/>
      <c r="AV58" s="24"/>
      <c r="AW58" s="24"/>
      <c r="AX58" s="24"/>
    </row>
    <row r="59" spans="4:50" outlineLevel="1">
      <c r="E59" s="30"/>
      <c r="F59" s="30"/>
      <c r="G59" s="30"/>
      <c r="H59" s="30"/>
      <c r="I59" s="40"/>
      <c r="J59" s="30"/>
      <c r="K59" s="30"/>
      <c r="L59" s="30"/>
      <c r="M59" s="30"/>
      <c r="N59" s="40"/>
      <c r="O59" s="30"/>
      <c r="P59" s="30"/>
      <c r="Q59" s="30"/>
      <c r="R59" s="34"/>
      <c r="S59" s="41"/>
      <c r="T59" s="34"/>
      <c r="U59" s="34"/>
      <c r="V59" s="34"/>
      <c r="W59" s="34"/>
      <c r="X59" s="41"/>
      <c r="Y59" s="34"/>
      <c r="Z59" s="34"/>
      <c r="AA59" s="34"/>
      <c r="AB59" s="34"/>
      <c r="AC59" s="41"/>
      <c r="AD59" s="34"/>
      <c r="AE59" s="34"/>
      <c r="AF59" s="34"/>
      <c r="AG59" s="34"/>
      <c r="AH59" s="41"/>
      <c r="AI59" s="34"/>
      <c r="AJ59" s="34"/>
      <c r="AK59" s="34"/>
      <c r="AL59" s="34"/>
      <c r="AM59" s="41"/>
      <c r="AN59" s="34"/>
      <c r="AO59" s="34"/>
      <c r="AP59" s="34"/>
      <c r="AQ59" s="34"/>
      <c r="AR59" s="41"/>
      <c r="AS59" s="24"/>
      <c r="AT59" s="24"/>
      <c r="AU59" s="24"/>
      <c r="AV59" s="24"/>
      <c r="AW59" s="24"/>
      <c r="AX59" s="24"/>
    </row>
    <row r="60" spans="4:50" s="59" customFormat="1" outlineLevel="1">
      <c r="D60" s="18" t="s">
        <v>117</v>
      </c>
      <c r="E60" s="55"/>
      <c r="F60" s="55"/>
      <c r="G60" s="55"/>
      <c r="H60" s="55"/>
      <c r="I60" s="56"/>
      <c r="J60" s="55">
        <v>3.4000000000000002E-2</v>
      </c>
      <c r="K60" s="55">
        <v>3.9E-2</v>
      </c>
      <c r="L60" s="55">
        <v>0.03</v>
      </c>
      <c r="M60" s="55">
        <v>3.5000000000000003E-2</v>
      </c>
      <c r="N60" s="56"/>
      <c r="O60" s="55">
        <v>4.1000000000000002E-2</v>
      </c>
      <c r="P60" s="55">
        <v>0.04</v>
      </c>
      <c r="Q60" s="55">
        <v>3.5000000000000003E-2</v>
      </c>
      <c r="R60" s="55">
        <f>INDEX(R63:R65,MATCH($D$62,IEImargin,0))</f>
        <v>0.05</v>
      </c>
      <c r="S60" s="56"/>
      <c r="T60" s="55">
        <f>INDEX(T63:T65,MATCH($D$62,IEImargin,0))</f>
        <v>4.1500000000000002E-2</v>
      </c>
      <c r="U60" s="55">
        <f>INDEX(U63:U65,MATCH($D$62,IEImargin,0))</f>
        <v>4.1625000000000002E-2</v>
      </c>
      <c r="V60" s="55">
        <f>INDEX(V63:V65,MATCH($D$62,IEImargin,0))</f>
        <v>4.2031249999999999E-2</v>
      </c>
      <c r="W60" s="55">
        <f>INDEX(W63:W65,MATCH($D$62,IEImargin,0))</f>
        <v>4.3789062499999996E-2</v>
      </c>
      <c r="X60" s="56"/>
      <c r="Y60" s="55">
        <f>INDEX(Y63:Y65,MATCH($D$62,IEImargin,0))</f>
        <v>4.1500000000000002E-2</v>
      </c>
      <c r="Z60" s="55">
        <f>INDEX(Z63:Z65,MATCH($D$62,IEImargin,0))</f>
        <v>4.1625000000000002E-2</v>
      </c>
      <c r="AA60" s="55">
        <f>INDEX(AA63:AA65,MATCH($D$62,IEImargin,0))</f>
        <v>4.2031249999999999E-2</v>
      </c>
      <c r="AB60" s="55">
        <f>INDEX(AB63:AB65,MATCH($D$62,IEImargin,0))</f>
        <v>4.3789062499999996E-2</v>
      </c>
      <c r="AC60" s="56"/>
      <c r="AD60" s="55">
        <f>INDEX(AD63:AD65,MATCH($D$62,IEImargin,0))</f>
        <v>4.1500000000000002E-2</v>
      </c>
      <c r="AE60" s="55">
        <f>INDEX(AE63:AE65,MATCH($D$62,IEImargin,0))</f>
        <v>4.1625000000000002E-2</v>
      </c>
      <c r="AF60" s="55">
        <f>INDEX(AF63:AF65,MATCH($D$62,IEImargin,0))</f>
        <v>4.2031249999999999E-2</v>
      </c>
      <c r="AG60" s="55">
        <f>INDEX(AG63:AG65,MATCH($D$62,IEImargin,0))</f>
        <v>4.3789062499999996E-2</v>
      </c>
      <c r="AH60" s="56"/>
      <c r="AI60" s="55">
        <f>INDEX(AI63:AI65,MATCH($D$62,IEImargin,0))</f>
        <v>4.1500000000000002E-2</v>
      </c>
      <c r="AJ60" s="55">
        <f>INDEX(AJ63:AJ65,MATCH($D$62,IEImargin,0))</f>
        <v>4.1625000000000002E-2</v>
      </c>
      <c r="AK60" s="55">
        <f>INDEX(AK63:AK65,MATCH($D$62,IEImargin,0))</f>
        <v>4.2031249999999999E-2</v>
      </c>
      <c r="AL60" s="55">
        <f>INDEX(AL63:AL65,MATCH($D$62,IEImargin,0))</f>
        <v>4.3789062499999996E-2</v>
      </c>
      <c r="AM60" s="56"/>
      <c r="AN60" s="55">
        <f>INDEX(AN63:AN65,MATCH($D$62,IEImargin,0))</f>
        <v>4.1500000000000002E-2</v>
      </c>
      <c r="AO60" s="55">
        <f>INDEX(AO63:AO65,MATCH($D$62,IEImargin,0))</f>
        <v>4.1625000000000002E-2</v>
      </c>
      <c r="AP60" s="55">
        <f>INDEX(AP63:AP65,MATCH($D$62,IEImargin,0))</f>
        <v>4.2031249999999999E-2</v>
      </c>
      <c r="AQ60" s="55">
        <f>INDEX(AQ63:AQ65,MATCH($D$62,IEImargin,0))</f>
        <v>4.3789062499999996E-2</v>
      </c>
      <c r="AR60" s="56"/>
      <c r="AS60" s="58"/>
      <c r="AT60" s="58"/>
      <c r="AU60" s="58"/>
      <c r="AV60" s="58"/>
      <c r="AW60" s="58"/>
      <c r="AX60" s="58"/>
    </row>
    <row r="61" spans="4:50" ht="17.25" customHeight="1" outlineLevel="1">
      <c r="E61" s="30"/>
      <c r="F61" s="30"/>
      <c r="G61" s="30"/>
      <c r="H61" s="30"/>
      <c r="I61" s="40"/>
      <c r="J61" s="30"/>
      <c r="K61" s="30"/>
      <c r="L61" s="30"/>
      <c r="M61" s="30"/>
      <c r="N61" s="40"/>
      <c r="O61" s="30"/>
      <c r="P61" s="30"/>
      <c r="Q61" s="30"/>
      <c r="R61" s="34"/>
      <c r="S61" s="41"/>
      <c r="T61" s="34"/>
      <c r="U61" s="34"/>
      <c r="V61" s="34"/>
      <c r="W61" s="34"/>
      <c r="X61" s="41"/>
      <c r="Y61" s="34"/>
      <c r="Z61" s="34"/>
      <c r="AA61" s="34"/>
      <c r="AB61" s="34"/>
      <c r="AC61" s="41"/>
      <c r="AD61" s="34"/>
      <c r="AE61" s="34"/>
      <c r="AF61" s="34"/>
      <c r="AG61" s="34"/>
      <c r="AH61" s="41"/>
      <c r="AI61" s="34"/>
      <c r="AJ61" s="34"/>
      <c r="AK61" s="34"/>
      <c r="AL61" s="34"/>
      <c r="AM61" s="41"/>
      <c r="AN61" s="34"/>
      <c r="AO61" s="34"/>
      <c r="AP61" s="34"/>
      <c r="AQ61" s="34"/>
      <c r="AR61" s="41"/>
      <c r="AS61" s="24"/>
      <c r="AT61" s="24"/>
      <c r="AU61" s="24"/>
      <c r="AV61" s="24"/>
      <c r="AW61" s="24"/>
      <c r="AX61" s="24"/>
    </row>
    <row r="62" spans="4:50" ht="6.75" customHeight="1" outlineLevel="1">
      <c r="D62" s="5" t="s">
        <v>115</v>
      </c>
      <c r="E62" s="30"/>
      <c r="F62" s="30"/>
      <c r="G62" s="30"/>
      <c r="H62" s="30"/>
      <c r="I62" s="40"/>
      <c r="J62" s="30"/>
      <c r="K62" s="30"/>
      <c r="L62" s="30"/>
      <c r="M62" s="30"/>
      <c r="N62" s="40"/>
      <c r="O62" s="30"/>
      <c r="P62" s="30"/>
      <c r="Q62" s="30"/>
      <c r="R62" s="34"/>
      <c r="S62" s="41"/>
      <c r="T62" s="34"/>
      <c r="U62" s="34"/>
      <c r="V62" s="34"/>
      <c r="W62" s="34"/>
      <c r="X62" s="41"/>
      <c r="Y62" s="34"/>
      <c r="Z62" s="34"/>
      <c r="AA62" s="34"/>
      <c r="AB62" s="34"/>
      <c r="AC62" s="41"/>
      <c r="AD62" s="34"/>
      <c r="AE62" s="34"/>
      <c r="AF62" s="34"/>
      <c r="AG62" s="34"/>
      <c r="AH62" s="41"/>
      <c r="AI62" s="34"/>
      <c r="AJ62" s="34"/>
      <c r="AK62" s="34"/>
      <c r="AL62" s="34"/>
      <c r="AM62" s="41"/>
      <c r="AN62" s="34"/>
      <c r="AO62" s="34"/>
      <c r="AP62" s="34"/>
      <c r="AQ62" s="34"/>
      <c r="AR62" s="41"/>
      <c r="AS62" s="24"/>
      <c r="AT62" s="24"/>
      <c r="AU62" s="24"/>
      <c r="AV62" s="24"/>
      <c r="AW62" s="24"/>
      <c r="AX62" s="24"/>
    </row>
    <row r="63" spans="4:50" outlineLevel="1">
      <c r="D63" s="46" t="s">
        <v>114</v>
      </c>
      <c r="E63" s="30"/>
      <c r="F63" s="30"/>
      <c r="G63" s="30"/>
      <c r="H63" s="30"/>
      <c r="I63" s="40"/>
      <c r="J63" s="401">
        <f>J60</f>
        <v>3.4000000000000002E-2</v>
      </c>
      <c r="K63" s="401">
        <f>K60</f>
        <v>3.9E-2</v>
      </c>
      <c r="L63" s="401">
        <f>L60</f>
        <v>0.03</v>
      </c>
      <c r="M63" s="401">
        <f>M60</f>
        <v>3.5000000000000003E-2</v>
      </c>
      <c r="N63" s="40"/>
      <c r="O63" s="401">
        <f>O60</f>
        <v>4.1000000000000002E-2</v>
      </c>
      <c r="P63" s="401">
        <f>P60</f>
        <v>0.04</v>
      </c>
      <c r="Q63" s="401">
        <f>Q60</f>
        <v>3.5000000000000003E-2</v>
      </c>
      <c r="R63" s="402">
        <v>0.04</v>
      </c>
      <c r="S63" s="41"/>
      <c r="T63" s="412">
        <f>AVERAGE(O63:R63)</f>
        <v>3.9E-2</v>
      </c>
      <c r="U63" s="412">
        <f>AVERAGE(P63:R63,T63)</f>
        <v>3.8500000000000006E-2</v>
      </c>
      <c r="V63" s="412">
        <f>AVERAGE(Q63:R63,T63:U63)</f>
        <v>3.8125000000000006E-2</v>
      </c>
      <c r="W63" s="412">
        <f>AVERAGE(R63,T63:V63)</f>
        <v>3.8906250000000003E-2</v>
      </c>
      <c r="X63" s="41"/>
      <c r="Y63" s="412">
        <f>T63</f>
        <v>3.9E-2</v>
      </c>
      <c r="Z63" s="412">
        <f t="shared" ref="Z63:Z65" si="209">U63</f>
        <v>3.8500000000000006E-2</v>
      </c>
      <c r="AA63" s="412">
        <f t="shared" ref="AA63:AA65" si="210">V63</f>
        <v>3.8125000000000006E-2</v>
      </c>
      <c r="AB63" s="412">
        <f t="shared" ref="AB63:AB65" si="211">W63</f>
        <v>3.8906250000000003E-2</v>
      </c>
      <c r="AC63" s="41"/>
      <c r="AD63" s="412">
        <f>Y63</f>
        <v>3.9E-2</v>
      </c>
      <c r="AE63" s="412">
        <f t="shared" ref="AE63:AE65" si="212">Z63</f>
        <v>3.8500000000000006E-2</v>
      </c>
      <c r="AF63" s="412">
        <f t="shared" ref="AF63:AF65" si="213">AA63</f>
        <v>3.8125000000000006E-2</v>
      </c>
      <c r="AG63" s="412">
        <f t="shared" ref="AG63:AG65" si="214">AB63</f>
        <v>3.8906250000000003E-2</v>
      </c>
      <c r="AH63" s="41"/>
      <c r="AI63" s="412">
        <f>AD63</f>
        <v>3.9E-2</v>
      </c>
      <c r="AJ63" s="412">
        <f t="shared" ref="AJ63:AJ65" si="215">AE63</f>
        <v>3.8500000000000006E-2</v>
      </c>
      <c r="AK63" s="412">
        <f t="shared" ref="AK63:AK65" si="216">AF63</f>
        <v>3.8125000000000006E-2</v>
      </c>
      <c r="AL63" s="412">
        <f t="shared" ref="AL63:AL65" si="217">AG63</f>
        <v>3.8906250000000003E-2</v>
      </c>
      <c r="AM63" s="41"/>
      <c r="AN63" s="412">
        <f>AI63</f>
        <v>3.9E-2</v>
      </c>
      <c r="AO63" s="412">
        <f t="shared" ref="AO63:AO65" si="218">AJ63</f>
        <v>3.8500000000000006E-2</v>
      </c>
      <c r="AP63" s="412">
        <f t="shared" ref="AP63:AP65" si="219">AK63</f>
        <v>3.8125000000000006E-2</v>
      </c>
      <c r="AQ63" s="412">
        <f t="shared" ref="AQ63:AQ65" si="220">AL63</f>
        <v>3.8906250000000003E-2</v>
      </c>
      <c r="AR63" s="41"/>
      <c r="AS63" s="24"/>
      <c r="AT63" s="24"/>
      <c r="AU63" s="24"/>
      <c r="AV63" s="24"/>
      <c r="AW63" s="24"/>
      <c r="AX63" s="24"/>
    </row>
    <row r="64" spans="4:50" outlineLevel="1">
      <c r="D64" s="46" t="s">
        <v>115</v>
      </c>
      <c r="E64" s="30"/>
      <c r="F64" s="30"/>
      <c r="G64" s="30"/>
      <c r="H64" s="30"/>
      <c r="I64" s="40"/>
      <c r="J64" s="401">
        <f t="shared" ref="J64:K65" si="221">J63</f>
        <v>3.4000000000000002E-2</v>
      </c>
      <c r="K64" s="401">
        <f t="shared" si="221"/>
        <v>3.9E-2</v>
      </c>
      <c r="L64" s="401">
        <f t="shared" ref="L64:M65" si="222">L63</f>
        <v>0.03</v>
      </c>
      <c r="M64" s="401">
        <f t="shared" si="222"/>
        <v>3.5000000000000003E-2</v>
      </c>
      <c r="N64" s="40"/>
      <c r="O64" s="401">
        <f t="shared" ref="O64:Q65" si="223">O63</f>
        <v>4.1000000000000002E-2</v>
      </c>
      <c r="P64" s="401">
        <f t="shared" si="223"/>
        <v>0.04</v>
      </c>
      <c r="Q64" s="401">
        <f t="shared" si="223"/>
        <v>3.5000000000000003E-2</v>
      </c>
      <c r="R64" s="402">
        <v>0.05</v>
      </c>
      <c r="S64" s="41"/>
      <c r="T64" s="412">
        <f t="shared" ref="T64:T65" si="224">AVERAGE(O64:R64)</f>
        <v>4.1500000000000002E-2</v>
      </c>
      <c r="U64" s="412">
        <f t="shared" ref="U64:U65" si="225">AVERAGE(P64:R64,T64)</f>
        <v>4.1625000000000002E-2</v>
      </c>
      <c r="V64" s="412">
        <f t="shared" ref="V64:V65" si="226">AVERAGE(Q64:R64,T64:U64)</f>
        <v>4.2031249999999999E-2</v>
      </c>
      <c r="W64" s="412">
        <f t="shared" ref="W64:W65" si="227">AVERAGE(R64,T64:V64)</f>
        <v>4.3789062499999996E-2</v>
      </c>
      <c r="X64" s="41"/>
      <c r="Y64" s="412">
        <f t="shared" ref="Y64:Y65" si="228">T64</f>
        <v>4.1500000000000002E-2</v>
      </c>
      <c r="Z64" s="412">
        <f t="shared" si="209"/>
        <v>4.1625000000000002E-2</v>
      </c>
      <c r="AA64" s="412">
        <f t="shared" si="210"/>
        <v>4.2031249999999999E-2</v>
      </c>
      <c r="AB64" s="412">
        <f t="shared" si="211"/>
        <v>4.3789062499999996E-2</v>
      </c>
      <c r="AC64" s="41"/>
      <c r="AD64" s="412">
        <f t="shared" ref="AD64:AD65" si="229">Y64</f>
        <v>4.1500000000000002E-2</v>
      </c>
      <c r="AE64" s="412">
        <f t="shared" si="212"/>
        <v>4.1625000000000002E-2</v>
      </c>
      <c r="AF64" s="412">
        <f t="shared" si="213"/>
        <v>4.2031249999999999E-2</v>
      </c>
      <c r="AG64" s="412">
        <f t="shared" si="214"/>
        <v>4.3789062499999996E-2</v>
      </c>
      <c r="AH64" s="41"/>
      <c r="AI64" s="412">
        <f t="shared" ref="AI64:AI65" si="230">AD64</f>
        <v>4.1500000000000002E-2</v>
      </c>
      <c r="AJ64" s="412">
        <f t="shared" si="215"/>
        <v>4.1625000000000002E-2</v>
      </c>
      <c r="AK64" s="412">
        <f t="shared" si="216"/>
        <v>4.2031249999999999E-2</v>
      </c>
      <c r="AL64" s="412">
        <f t="shared" si="217"/>
        <v>4.3789062499999996E-2</v>
      </c>
      <c r="AM64" s="41"/>
      <c r="AN64" s="412">
        <f t="shared" ref="AN64:AN65" si="231">AI64</f>
        <v>4.1500000000000002E-2</v>
      </c>
      <c r="AO64" s="412">
        <f t="shared" si="218"/>
        <v>4.1625000000000002E-2</v>
      </c>
      <c r="AP64" s="412">
        <f t="shared" si="219"/>
        <v>4.2031249999999999E-2</v>
      </c>
      <c r="AQ64" s="412">
        <f t="shared" si="220"/>
        <v>4.3789062499999996E-2</v>
      </c>
      <c r="AR64" s="41"/>
      <c r="AS64" s="24"/>
      <c r="AT64" s="24"/>
      <c r="AU64" s="24"/>
      <c r="AV64" s="24"/>
      <c r="AW64" s="24"/>
      <c r="AX64" s="24"/>
    </row>
    <row r="65" spans="4:50" outlineLevel="1">
      <c r="D65" s="46" t="s">
        <v>116</v>
      </c>
      <c r="E65" s="30"/>
      <c r="F65" s="30"/>
      <c r="G65" s="30"/>
      <c r="H65" s="30"/>
      <c r="I65" s="40"/>
      <c r="J65" s="401">
        <f t="shared" si="221"/>
        <v>3.4000000000000002E-2</v>
      </c>
      <c r="K65" s="401">
        <f t="shared" si="221"/>
        <v>3.9E-2</v>
      </c>
      <c r="L65" s="401">
        <f t="shared" si="222"/>
        <v>0.03</v>
      </c>
      <c r="M65" s="401">
        <f t="shared" si="222"/>
        <v>3.5000000000000003E-2</v>
      </c>
      <c r="N65" s="40"/>
      <c r="O65" s="401">
        <f t="shared" si="223"/>
        <v>4.1000000000000002E-2</v>
      </c>
      <c r="P65" s="401">
        <f t="shared" si="223"/>
        <v>0.04</v>
      </c>
      <c r="Q65" s="401">
        <f t="shared" si="223"/>
        <v>3.5000000000000003E-2</v>
      </c>
      <c r="R65" s="402">
        <v>0.06</v>
      </c>
      <c r="S65" s="41"/>
      <c r="T65" s="412">
        <f t="shared" si="224"/>
        <v>4.3999999999999997E-2</v>
      </c>
      <c r="U65" s="412">
        <f t="shared" si="225"/>
        <v>4.4749999999999998E-2</v>
      </c>
      <c r="V65" s="412">
        <f t="shared" si="226"/>
        <v>4.5937500000000006E-2</v>
      </c>
      <c r="W65" s="412">
        <f t="shared" si="227"/>
        <v>4.8671875000000003E-2</v>
      </c>
      <c r="X65" s="41"/>
      <c r="Y65" s="412">
        <f t="shared" si="228"/>
        <v>4.3999999999999997E-2</v>
      </c>
      <c r="Z65" s="412">
        <f t="shared" si="209"/>
        <v>4.4749999999999998E-2</v>
      </c>
      <c r="AA65" s="412">
        <f t="shared" si="210"/>
        <v>4.5937500000000006E-2</v>
      </c>
      <c r="AB65" s="412">
        <f t="shared" si="211"/>
        <v>4.8671875000000003E-2</v>
      </c>
      <c r="AC65" s="41"/>
      <c r="AD65" s="412">
        <f t="shared" si="229"/>
        <v>4.3999999999999997E-2</v>
      </c>
      <c r="AE65" s="412">
        <f t="shared" si="212"/>
        <v>4.4749999999999998E-2</v>
      </c>
      <c r="AF65" s="412">
        <f t="shared" si="213"/>
        <v>4.5937500000000006E-2</v>
      </c>
      <c r="AG65" s="412">
        <f t="shared" si="214"/>
        <v>4.8671875000000003E-2</v>
      </c>
      <c r="AH65" s="41"/>
      <c r="AI65" s="412">
        <f t="shared" si="230"/>
        <v>4.3999999999999997E-2</v>
      </c>
      <c r="AJ65" s="412">
        <f t="shared" si="215"/>
        <v>4.4749999999999998E-2</v>
      </c>
      <c r="AK65" s="412">
        <f t="shared" si="216"/>
        <v>4.5937500000000006E-2</v>
      </c>
      <c r="AL65" s="412">
        <f t="shared" si="217"/>
        <v>4.8671875000000003E-2</v>
      </c>
      <c r="AM65" s="41"/>
      <c r="AN65" s="412">
        <f t="shared" si="231"/>
        <v>4.3999999999999997E-2</v>
      </c>
      <c r="AO65" s="412">
        <f t="shared" si="218"/>
        <v>4.4749999999999998E-2</v>
      </c>
      <c r="AP65" s="412">
        <f t="shared" si="219"/>
        <v>4.5937500000000006E-2</v>
      </c>
      <c r="AQ65" s="412">
        <f t="shared" si="220"/>
        <v>4.8671875000000003E-2</v>
      </c>
      <c r="AR65" s="41"/>
      <c r="AS65" s="24"/>
      <c r="AT65" s="24"/>
      <c r="AU65" s="24"/>
      <c r="AV65" s="24"/>
      <c r="AW65" s="24"/>
      <c r="AX65" s="24"/>
    </row>
    <row r="66" spans="4:50" outlineLevel="1">
      <c r="D66" s="1"/>
      <c r="E66" s="30"/>
      <c r="F66" s="30"/>
      <c r="G66" s="30"/>
      <c r="H66" s="30"/>
      <c r="I66" s="40"/>
      <c r="J66" s="30"/>
      <c r="K66" s="30"/>
      <c r="L66" s="30"/>
      <c r="M66" s="30"/>
      <c r="N66" s="40"/>
      <c r="O66" s="30"/>
      <c r="P66" s="30"/>
      <c r="Q66" s="30"/>
      <c r="R66" s="34"/>
      <c r="S66" s="41"/>
      <c r="T66" s="34"/>
      <c r="U66" s="34"/>
      <c r="V66" s="34"/>
      <c r="W66" s="34"/>
      <c r="X66" s="41"/>
      <c r="Y66" s="34"/>
      <c r="Z66" s="34"/>
      <c r="AA66" s="34"/>
      <c r="AB66" s="34"/>
      <c r="AC66" s="41"/>
      <c r="AD66" s="34"/>
      <c r="AE66" s="34"/>
      <c r="AF66" s="34"/>
      <c r="AG66" s="34"/>
      <c r="AH66" s="41"/>
      <c r="AI66" s="34"/>
      <c r="AJ66" s="34"/>
      <c r="AK66" s="34"/>
      <c r="AL66" s="34"/>
      <c r="AM66" s="41"/>
      <c r="AN66" s="34"/>
      <c r="AO66" s="34"/>
      <c r="AP66" s="34"/>
      <c r="AQ66" s="34"/>
      <c r="AR66" s="41"/>
      <c r="AS66" s="24"/>
      <c r="AT66" s="24"/>
      <c r="AU66" s="24"/>
      <c r="AV66" s="24"/>
      <c r="AW66" s="24"/>
      <c r="AX66" s="24"/>
    </row>
    <row r="67" spans="4:50" outlineLevel="1">
      <c r="E67" s="30"/>
      <c r="F67" s="30"/>
      <c r="G67" s="30"/>
      <c r="H67" s="30"/>
      <c r="I67" s="40"/>
      <c r="J67" s="30"/>
      <c r="K67" s="30"/>
      <c r="L67" s="30"/>
      <c r="M67" s="30"/>
      <c r="N67" s="40"/>
      <c r="O67" s="30"/>
      <c r="P67" s="30"/>
      <c r="Q67" s="30"/>
      <c r="R67" s="34"/>
      <c r="S67" s="41"/>
      <c r="T67" s="34"/>
      <c r="U67" s="34"/>
      <c r="V67" s="34"/>
      <c r="W67" s="34"/>
      <c r="X67" s="41"/>
      <c r="Y67" s="34"/>
      <c r="Z67" s="34"/>
      <c r="AA67" s="34"/>
      <c r="AB67" s="34"/>
      <c r="AC67" s="41"/>
      <c r="AD67" s="34"/>
      <c r="AE67" s="34"/>
      <c r="AF67" s="34"/>
      <c r="AG67" s="34"/>
      <c r="AH67" s="41"/>
      <c r="AI67" s="34"/>
      <c r="AJ67" s="34"/>
      <c r="AK67" s="34"/>
      <c r="AL67" s="34"/>
      <c r="AM67" s="41"/>
      <c r="AN67" s="34"/>
      <c r="AO67" s="34"/>
      <c r="AP67" s="34"/>
      <c r="AQ67" s="34"/>
      <c r="AR67" s="41"/>
      <c r="AS67" s="24"/>
      <c r="AT67" s="24"/>
      <c r="AU67" s="24"/>
      <c r="AV67" s="24"/>
      <c r="AW67" s="24"/>
      <c r="AX67" s="24"/>
    </row>
    <row r="68" spans="4:50" s="15" customFormat="1" outlineLevel="1">
      <c r="D68" s="19" t="s">
        <v>118</v>
      </c>
      <c r="E68" s="53"/>
      <c r="F68" s="53"/>
      <c r="G68" s="53"/>
      <c r="H68" s="53"/>
      <c r="I68" s="54"/>
      <c r="J68" s="53">
        <v>7.5999999999999998E-2</v>
      </c>
      <c r="K68" s="53">
        <v>8.2000000000000003E-2</v>
      </c>
      <c r="L68" s="53">
        <v>7.9000000000000001E-2</v>
      </c>
      <c r="M68" s="53">
        <v>8.1000000000000003E-2</v>
      </c>
      <c r="N68" s="54"/>
      <c r="O68" s="53">
        <v>0.08</v>
      </c>
      <c r="P68" s="53">
        <v>0.08</v>
      </c>
      <c r="Q68" s="53">
        <v>0.08</v>
      </c>
      <c r="R68" s="53">
        <f>INDEX(R71:R73,MATCH($D$70,HRSmargin,0))</f>
        <v>7.4999999999999997E-2</v>
      </c>
      <c r="S68" s="54"/>
      <c r="T68" s="53">
        <f>INDEX(T71:T73,MATCH($D$70,HRSmargin,0))</f>
        <v>7.8750000000000001E-2</v>
      </c>
      <c r="U68" s="53">
        <f>INDEX(U71:U73,MATCH($D$70,HRSmargin,0))</f>
        <v>7.8437499999999993E-2</v>
      </c>
      <c r="V68" s="53">
        <f>INDEX(V71:V73,MATCH($D$70,HRSmargin,0))</f>
        <v>7.8046875000000002E-2</v>
      </c>
      <c r="W68" s="53">
        <f>INDEX(W71:W73,MATCH($D$70,HRSmargin,0))</f>
        <v>7.7558593750000002E-2</v>
      </c>
      <c r="X68" s="54"/>
      <c r="Y68" s="53">
        <f>INDEX(Y71:Y73,MATCH($D$70,HRSmargin,0))</f>
        <v>7.8750000000000001E-2</v>
      </c>
      <c r="Z68" s="53">
        <f>INDEX(Z71:Z73,MATCH($D$70,HRSmargin,0))</f>
        <v>7.8437499999999993E-2</v>
      </c>
      <c r="AA68" s="53">
        <f>INDEX(AA71:AA73,MATCH($D$70,HRSmargin,0))</f>
        <v>7.8046875000000002E-2</v>
      </c>
      <c r="AB68" s="53">
        <f>INDEX(AB71:AB73,MATCH($D$70,HRSmargin,0))</f>
        <v>7.7558593750000002E-2</v>
      </c>
      <c r="AC68" s="54"/>
      <c r="AD68" s="53">
        <f>INDEX(AD71:AD73,MATCH($D$70,HRSmargin,0))</f>
        <v>7.8750000000000001E-2</v>
      </c>
      <c r="AE68" s="53">
        <f>INDEX(AE71:AE73,MATCH($D$70,HRSmargin,0))</f>
        <v>7.8437499999999993E-2</v>
      </c>
      <c r="AF68" s="53">
        <f>INDEX(AF71:AF73,MATCH($D$70,HRSmargin,0))</f>
        <v>7.8046875000000002E-2</v>
      </c>
      <c r="AG68" s="53">
        <f>INDEX(AG71:AG73,MATCH($D$70,HRSmargin,0))</f>
        <v>7.7558593750000002E-2</v>
      </c>
      <c r="AH68" s="54"/>
      <c r="AI68" s="53">
        <f>INDEX(AI71:AI73,MATCH($D$70,HRSmargin,0))</f>
        <v>7.8750000000000001E-2</v>
      </c>
      <c r="AJ68" s="53">
        <f>INDEX(AJ71:AJ73,MATCH($D$70,HRSmargin,0))</f>
        <v>7.8437499999999993E-2</v>
      </c>
      <c r="AK68" s="53">
        <f>INDEX(AK71:AK73,MATCH($D$70,HRSmargin,0))</f>
        <v>7.8046875000000002E-2</v>
      </c>
      <c r="AL68" s="53">
        <f>INDEX(AL71:AL73,MATCH($D$70,HRSmargin,0))</f>
        <v>7.7558593750000002E-2</v>
      </c>
      <c r="AM68" s="54"/>
      <c r="AN68" s="53">
        <f>INDEX(AN71:AN73,MATCH($D$70,HRSmargin,0))</f>
        <v>7.8750000000000001E-2</v>
      </c>
      <c r="AO68" s="53">
        <f>INDEX(AO71:AO73,MATCH($D$70,HRSmargin,0))</f>
        <v>7.8437499999999993E-2</v>
      </c>
      <c r="AP68" s="53">
        <f>INDEX(AP71:AP73,MATCH($D$70,HRSmargin,0))</f>
        <v>7.8046875000000002E-2</v>
      </c>
      <c r="AQ68" s="53">
        <f>INDEX(AQ71:AQ73,MATCH($D$70,HRSmargin,0))</f>
        <v>7.7558593750000002E-2</v>
      </c>
      <c r="AR68" s="54"/>
      <c r="AS68" s="24"/>
      <c r="AT68" s="24"/>
      <c r="AU68" s="24"/>
      <c r="AV68" s="24"/>
      <c r="AW68" s="24"/>
      <c r="AX68" s="24"/>
    </row>
    <row r="69" spans="4:50" outlineLevel="1">
      <c r="E69" s="30"/>
      <c r="F69" s="30"/>
      <c r="G69" s="30"/>
      <c r="H69" s="30"/>
      <c r="I69" s="40"/>
      <c r="J69" s="30"/>
      <c r="K69" s="30"/>
      <c r="L69" s="30"/>
      <c r="M69" s="30"/>
      <c r="N69" s="40"/>
      <c r="O69" s="30"/>
      <c r="P69" s="30"/>
      <c r="Q69" s="30"/>
      <c r="R69" s="34"/>
      <c r="S69" s="41"/>
      <c r="T69" s="34"/>
      <c r="U69" s="34"/>
      <c r="V69" s="34"/>
      <c r="W69" s="34"/>
      <c r="X69" s="41"/>
      <c r="Y69" s="34"/>
      <c r="Z69" s="34"/>
      <c r="AA69" s="34"/>
      <c r="AB69" s="34"/>
      <c r="AC69" s="41"/>
      <c r="AD69" s="34"/>
      <c r="AE69" s="34"/>
      <c r="AF69" s="34"/>
      <c r="AG69" s="34"/>
      <c r="AH69" s="41"/>
      <c r="AI69" s="34"/>
      <c r="AJ69" s="34"/>
      <c r="AK69" s="34"/>
      <c r="AL69" s="34"/>
      <c r="AM69" s="41"/>
      <c r="AN69" s="34"/>
      <c r="AO69" s="34"/>
      <c r="AP69" s="34"/>
      <c r="AQ69" s="34"/>
      <c r="AR69" s="41"/>
      <c r="AS69" s="24"/>
      <c r="AT69" s="24"/>
      <c r="AU69" s="24"/>
      <c r="AV69" s="24"/>
      <c r="AW69" s="24"/>
      <c r="AX69" s="24"/>
    </row>
    <row r="70" spans="4:50" ht="6.75" customHeight="1" outlineLevel="1">
      <c r="D70" s="5" t="s">
        <v>115</v>
      </c>
      <c r="E70" s="30"/>
      <c r="F70" s="30"/>
      <c r="G70" s="30"/>
      <c r="H70" s="30"/>
      <c r="I70" s="40"/>
      <c r="J70" s="30"/>
      <c r="K70" s="30"/>
      <c r="L70" s="30"/>
      <c r="M70" s="30"/>
      <c r="N70" s="40"/>
      <c r="O70" s="30"/>
      <c r="P70" s="30"/>
      <c r="Q70" s="30"/>
      <c r="R70" s="34"/>
      <c r="S70" s="41"/>
      <c r="T70" s="34"/>
      <c r="U70" s="34"/>
      <c r="V70" s="34"/>
      <c r="W70" s="34"/>
      <c r="X70" s="41"/>
      <c r="Y70" s="34"/>
      <c r="Z70" s="34"/>
      <c r="AA70" s="34"/>
      <c r="AB70" s="34"/>
      <c r="AC70" s="41"/>
      <c r="AD70" s="34"/>
      <c r="AE70" s="34"/>
      <c r="AF70" s="34"/>
      <c r="AG70" s="34"/>
      <c r="AH70" s="41"/>
      <c r="AI70" s="34"/>
      <c r="AJ70" s="34"/>
      <c r="AK70" s="34"/>
      <c r="AL70" s="34"/>
      <c r="AM70" s="41"/>
      <c r="AN70" s="34"/>
      <c r="AO70" s="34"/>
      <c r="AP70" s="34"/>
      <c r="AQ70" s="34"/>
      <c r="AR70" s="41"/>
      <c r="AS70" s="24"/>
      <c r="AT70" s="24"/>
      <c r="AU70" s="24"/>
      <c r="AV70" s="24"/>
      <c r="AW70" s="24"/>
      <c r="AX70" s="24"/>
    </row>
    <row r="71" spans="4:50" outlineLevel="1">
      <c r="D71" s="46" t="s">
        <v>114</v>
      </c>
      <c r="E71" s="30"/>
      <c r="F71" s="30"/>
      <c r="G71" s="30"/>
      <c r="H71" s="30"/>
      <c r="I71" s="40"/>
      <c r="J71" s="401">
        <f>J68</f>
        <v>7.5999999999999998E-2</v>
      </c>
      <c r="K71" s="401">
        <f>K68</f>
        <v>8.2000000000000003E-2</v>
      </c>
      <c r="L71" s="401">
        <f>L68</f>
        <v>7.9000000000000001E-2</v>
      </c>
      <c r="M71" s="401">
        <f>M68</f>
        <v>8.1000000000000003E-2</v>
      </c>
      <c r="N71" s="40"/>
      <c r="O71" s="401">
        <f>O68</f>
        <v>0.08</v>
      </c>
      <c r="P71" s="401">
        <f>P68</f>
        <v>0.08</v>
      </c>
      <c r="Q71" s="401">
        <v>0.08</v>
      </c>
      <c r="R71" s="402">
        <v>0.06</v>
      </c>
      <c r="S71" s="41"/>
      <c r="T71" s="412">
        <f>AVERAGE(O71:R71)</f>
        <v>7.4999999999999997E-2</v>
      </c>
      <c r="U71" s="412">
        <f>AVERAGE(P71:R71,T71)</f>
        <v>7.3749999999999996E-2</v>
      </c>
      <c r="V71" s="412">
        <f>AVERAGE(Q71:R71,T71:U71)</f>
        <v>7.2187500000000002E-2</v>
      </c>
      <c r="W71" s="412">
        <f>AVERAGE(R71,T71:V71)</f>
        <v>7.0234375000000002E-2</v>
      </c>
      <c r="X71" s="41"/>
      <c r="Y71" s="412">
        <f>T71</f>
        <v>7.4999999999999997E-2</v>
      </c>
      <c r="Z71" s="412">
        <f t="shared" ref="Z71:Z73" si="232">U71</f>
        <v>7.3749999999999996E-2</v>
      </c>
      <c r="AA71" s="412">
        <f t="shared" ref="AA71:AA73" si="233">V71</f>
        <v>7.2187500000000002E-2</v>
      </c>
      <c r="AB71" s="412">
        <f t="shared" ref="AB71:AB73" si="234">W71</f>
        <v>7.0234375000000002E-2</v>
      </c>
      <c r="AC71" s="41"/>
      <c r="AD71" s="412">
        <f>Y71</f>
        <v>7.4999999999999997E-2</v>
      </c>
      <c r="AE71" s="412">
        <f t="shared" ref="AE71:AE73" si="235">Z71</f>
        <v>7.3749999999999996E-2</v>
      </c>
      <c r="AF71" s="412">
        <f t="shared" ref="AF71:AF73" si="236">AA71</f>
        <v>7.2187500000000002E-2</v>
      </c>
      <c r="AG71" s="412">
        <f t="shared" ref="AG71:AG73" si="237">AB71</f>
        <v>7.0234375000000002E-2</v>
      </c>
      <c r="AH71" s="41"/>
      <c r="AI71" s="412">
        <f>AD71</f>
        <v>7.4999999999999997E-2</v>
      </c>
      <c r="AJ71" s="412">
        <f t="shared" ref="AJ71:AJ73" si="238">AE71</f>
        <v>7.3749999999999996E-2</v>
      </c>
      <c r="AK71" s="412">
        <f t="shared" ref="AK71:AK73" si="239">AF71</f>
        <v>7.2187500000000002E-2</v>
      </c>
      <c r="AL71" s="412">
        <f t="shared" ref="AL71:AL73" si="240">AG71</f>
        <v>7.0234375000000002E-2</v>
      </c>
      <c r="AM71" s="41"/>
      <c r="AN71" s="412">
        <f>AI71</f>
        <v>7.4999999999999997E-2</v>
      </c>
      <c r="AO71" s="412">
        <f t="shared" ref="AO71:AO73" si="241">AJ71</f>
        <v>7.3749999999999996E-2</v>
      </c>
      <c r="AP71" s="412">
        <f t="shared" ref="AP71:AP73" si="242">AK71</f>
        <v>7.2187500000000002E-2</v>
      </c>
      <c r="AQ71" s="412">
        <f t="shared" ref="AQ71:AQ73" si="243">AL71</f>
        <v>7.0234375000000002E-2</v>
      </c>
      <c r="AR71" s="41"/>
      <c r="AS71" s="24"/>
      <c r="AT71" s="24"/>
      <c r="AU71" s="24"/>
      <c r="AV71" s="24"/>
      <c r="AW71" s="24"/>
      <c r="AX71" s="24"/>
    </row>
    <row r="72" spans="4:50" outlineLevel="1">
      <c r="D72" s="46" t="s">
        <v>115</v>
      </c>
      <c r="E72" s="30"/>
      <c r="F72" s="30"/>
      <c r="G72" s="30"/>
      <c r="H72" s="30"/>
      <c r="I72" s="40"/>
      <c r="J72" s="401">
        <f t="shared" ref="J72:K73" si="244">J71</f>
        <v>7.5999999999999998E-2</v>
      </c>
      <c r="K72" s="401">
        <f t="shared" si="244"/>
        <v>8.2000000000000003E-2</v>
      </c>
      <c r="L72" s="401">
        <f t="shared" ref="L72:M73" si="245">L71</f>
        <v>7.9000000000000001E-2</v>
      </c>
      <c r="M72" s="401">
        <f t="shared" si="245"/>
        <v>8.1000000000000003E-2</v>
      </c>
      <c r="N72" s="40"/>
      <c r="O72" s="401">
        <f>O71</f>
        <v>0.08</v>
      </c>
      <c r="P72" s="401">
        <f>P71</f>
        <v>0.08</v>
      </c>
      <c r="Q72" s="401">
        <v>0.08</v>
      </c>
      <c r="R72" s="402">
        <v>7.4999999999999997E-2</v>
      </c>
      <c r="S72" s="41"/>
      <c r="T72" s="412">
        <f t="shared" ref="T72:T73" si="246">AVERAGE(O72:R72)</f>
        <v>7.8750000000000001E-2</v>
      </c>
      <c r="U72" s="412">
        <f t="shared" ref="U72:U73" si="247">AVERAGE(P72:R72,T72)</f>
        <v>7.8437499999999993E-2</v>
      </c>
      <c r="V72" s="412">
        <f t="shared" ref="V72:V73" si="248">AVERAGE(Q72:R72,T72:U72)</f>
        <v>7.8046875000000002E-2</v>
      </c>
      <c r="W72" s="412">
        <f t="shared" ref="W72:W73" si="249">AVERAGE(R72,T72:V72)</f>
        <v>7.7558593750000002E-2</v>
      </c>
      <c r="X72" s="41"/>
      <c r="Y72" s="412">
        <f t="shared" ref="Y72:Y73" si="250">T72</f>
        <v>7.8750000000000001E-2</v>
      </c>
      <c r="Z72" s="412">
        <f t="shared" si="232"/>
        <v>7.8437499999999993E-2</v>
      </c>
      <c r="AA72" s="412">
        <f t="shared" si="233"/>
        <v>7.8046875000000002E-2</v>
      </c>
      <c r="AB72" s="412">
        <f t="shared" si="234"/>
        <v>7.7558593750000002E-2</v>
      </c>
      <c r="AC72" s="41"/>
      <c r="AD72" s="412">
        <f t="shared" ref="AD72:AD73" si="251">Y72</f>
        <v>7.8750000000000001E-2</v>
      </c>
      <c r="AE72" s="412">
        <f t="shared" si="235"/>
        <v>7.8437499999999993E-2</v>
      </c>
      <c r="AF72" s="412">
        <f t="shared" si="236"/>
        <v>7.8046875000000002E-2</v>
      </c>
      <c r="AG72" s="412">
        <f t="shared" si="237"/>
        <v>7.7558593750000002E-2</v>
      </c>
      <c r="AH72" s="41"/>
      <c r="AI72" s="412">
        <f t="shared" ref="AI72:AI73" si="252">AD72</f>
        <v>7.8750000000000001E-2</v>
      </c>
      <c r="AJ72" s="412">
        <f t="shared" si="238"/>
        <v>7.8437499999999993E-2</v>
      </c>
      <c r="AK72" s="412">
        <f t="shared" si="239"/>
        <v>7.8046875000000002E-2</v>
      </c>
      <c r="AL72" s="412">
        <f t="shared" si="240"/>
        <v>7.7558593750000002E-2</v>
      </c>
      <c r="AM72" s="41"/>
      <c r="AN72" s="412">
        <f t="shared" ref="AN72:AN73" si="253">AI72</f>
        <v>7.8750000000000001E-2</v>
      </c>
      <c r="AO72" s="412">
        <f t="shared" si="241"/>
        <v>7.8437499999999993E-2</v>
      </c>
      <c r="AP72" s="412">
        <f t="shared" si="242"/>
        <v>7.8046875000000002E-2</v>
      </c>
      <c r="AQ72" s="412">
        <f t="shared" si="243"/>
        <v>7.7558593750000002E-2</v>
      </c>
      <c r="AR72" s="41"/>
      <c r="AS72" s="24"/>
      <c r="AT72" s="24"/>
      <c r="AU72" s="24"/>
      <c r="AV72" s="24"/>
      <c r="AW72" s="24"/>
      <c r="AX72" s="24"/>
    </row>
    <row r="73" spans="4:50" outlineLevel="1">
      <c r="D73" s="46" t="s">
        <v>116</v>
      </c>
      <c r="E73" s="30"/>
      <c r="F73" s="30"/>
      <c r="G73" s="30"/>
      <c r="H73" s="30"/>
      <c r="I73" s="40"/>
      <c r="J73" s="401">
        <f t="shared" si="244"/>
        <v>7.5999999999999998E-2</v>
      </c>
      <c r="K73" s="401">
        <f t="shared" si="244"/>
        <v>8.2000000000000003E-2</v>
      </c>
      <c r="L73" s="401">
        <f t="shared" si="245"/>
        <v>7.9000000000000001E-2</v>
      </c>
      <c r="M73" s="401">
        <f t="shared" si="245"/>
        <v>8.1000000000000003E-2</v>
      </c>
      <c r="N73" s="40"/>
      <c r="O73" s="401">
        <f>O72</f>
        <v>0.08</v>
      </c>
      <c r="P73" s="401">
        <f>P72</f>
        <v>0.08</v>
      </c>
      <c r="Q73" s="401">
        <v>0.08</v>
      </c>
      <c r="R73" s="402">
        <v>0.09</v>
      </c>
      <c r="S73" s="41"/>
      <c r="T73" s="412">
        <f t="shared" si="246"/>
        <v>8.249999999999999E-2</v>
      </c>
      <c r="U73" s="412">
        <f t="shared" si="247"/>
        <v>8.3125000000000004E-2</v>
      </c>
      <c r="V73" s="412">
        <f t="shared" si="248"/>
        <v>8.3906249999999988E-2</v>
      </c>
      <c r="W73" s="412">
        <f t="shared" si="249"/>
        <v>8.4882812499999988E-2</v>
      </c>
      <c r="X73" s="41"/>
      <c r="Y73" s="412">
        <f t="shared" si="250"/>
        <v>8.249999999999999E-2</v>
      </c>
      <c r="Z73" s="412">
        <f t="shared" si="232"/>
        <v>8.3125000000000004E-2</v>
      </c>
      <c r="AA73" s="412">
        <f t="shared" si="233"/>
        <v>8.3906249999999988E-2</v>
      </c>
      <c r="AB73" s="412">
        <f t="shared" si="234"/>
        <v>8.4882812499999988E-2</v>
      </c>
      <c r="AC73" s="41"/>
      <c r="AD73" s="412">
        <f t="shared" si="251"/>
        <v>8.249999999999999E-2</v>
      </c>
      <c r="AE73" s="412">
        <f t="shared" si="235"/>
        <v>8.3125000000000004E-2</v>
      </c>
      <c r="AF73" s="412">
        <f t="shared" si="236"/>
        <v>8.3906249999999988E-2</v>
      </c>
      <c r="AG73" s="412">
        <f t="shared" si="237"/>
        <v>8.4882812499999988E-2</v>
      </c>
      <c r="AH73" s="41"/>
      <c r="AI73" s="412">
        <f t="shared" si="252"/>
        <v>8.249999999999999E-2</v>
      </c>
      <c r="AJ73" s="412">
        <f t="shared" si="238"/>
        <v>8.3125000000000004E-2</v>
      </c>
      <c r="AK73" s="412">
        <f t="shared" si="239"/>
        <v>8.3906249999999988E-2</v>
      </c>
      <c r="AL73" s="412">
        <f t="shared" si="240"/>
        <v>8.4882812499999988E-2</v>
      </c>
      <c r="AM73" s="41"/>
      <c r="AN73" s="412">
        <f t="shared" si="253"/>
        <v>8.249999999999999E-2</v>
      </c>
      <c r="AO73" s="412">
        <f t="shared" si="241"/>
        <v>8.3125000000000004E-2</v>
      </c>
      <c r="AP73" s="412">
        <f t="shared" si="242"/>
        <v>8.3906249999999988E-2</v>
      </c>
      <c r="AQ73" s="412">
        <f t="shared" si="243"/>
        <v>8.4882812499999988E-2</v>
      </c>
      <c r="AR73" s="41"/>
      <c r="AS73" s="24"/>
      <c r="AT73" s="24"/>
      <c r="AU73" s="24"/>
      <c r="AV73" s="24"/>
      <c r="AW73" s="24"/>
      <c r="AX73" s="24"/>
    </row>
    <row r="74" spans="4:50" outlineLevel="1"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24"/>
      <c r="AT74" s="24"/>
      <c r="AU74" s="24"/>
      <c r="AV74" s="24"/>
      <c r="AW74" s="24"/>
      <c r="AX74" s="24"/>
    </row>
    <row r="75" spans="4:50"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24"/>
      <c r="AT75" s="24"/>
      <c r="AU75" s="24"/>
      <c r="AV75" s="24"/>
      <c r="AW75" s="24"/>
      <c r="AX75" s="24"/>
    </row>
    <row r="76" spans="4:50"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24"/>
      <c r="AT76" s="24"/>
      <c r="AU76" s="24"/>
      <c r="AV76" s="24"/>
      <c r="AW76" s="24"/>
      <c r="AX76" s="24"/>
    </row>
    <row r="77" spans="4:50"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24"/>
      <c r="AT77" s="24"/>
      <c r="AU77" s="24"/>
      <c r="AV77" s="24"/>
      <c r="AW77" s="24"/>
      <c r="AX77" s="24"/>
    </row>
    <row r="78" spans="4:50"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24"/>
      <c r="AT78" s="24"/>
      <c r="AU78" s="24"/>
      <c r="AV78" s="24"/>
      <c r="AW78" s="24"/>
      <c r="AX78" s="24"/>
    </row>
    <row r="79" spans="4:50"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24"/>
      <c r="AT79" s="24"/>
      <c r="AU79" s="24"/>
      <c r="AV79" s="24"/>
      <c r="AW79" s="24"/>
      <c r="AX79" s="24"/>
    </row>
    <row r="80" spans="4:50"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24"/>
      <c r="AT80" s="24"/>
      <c r="AU80" s="24"/>
      <c r="AV80" s="24"/>
      <c r="AW80" s="24"/>
      <c r="AX80" s="24"/>
    </row>
    <row r="81" spans="5:50"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24"/>
      <c r="AT81" s="24"/>
      <c r="AU81" s="24"/>
      <c r="AV81" s="24"/>
      <c r="AW81" s="24"/>
      <c r="AX81" s="24"/>
    </row>
    <row r="82" spans="5:50"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24"/>
      <c r="AT82" s="24"/>
      <c r="AU82" s="24"/>
      <c r="AV82" s="24"/>
      <c r="AW82" s="24"/>
      <c r="AX82" s="24"/>
    </row>
    <row r="83" spans="5:50"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24"/>
      <c r="AT83" s="24"/>
      <c r="AU83" s="24"/>
      <c r="AV83" s="24"/>
      <c r="AW83" s="24"/>
      <c r="AX83" s="24"/>
    </row>
    <row r="84" spans="5:50"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24"/>
      <c r="AT84" s="24"/>
      <c r="AU84" s="24"/>
      <c r="AV84" s="24"/>
      <c r="AW84" s="24"/>
      <c r="AX84" s="24"/>
    </row>
  </sheetData>
  <mergeCells count="8">
    <mergeCell ref="AD2:AG2"/>
    <mergeCell ref="AI2:AL2"/>
    <mergeCell ref="AN2:AQ2"/>
    <mergeCell ref="E2:H2"/>
    <mergeCell ref="J2:M2"/>
    <mergeCell ref="O2:R2"/>
    <mergeCell ref="T2:W2"/>
    <mergeCell ref="Y2:AB2"/>
  </mergeCells>
  <phoneticPr fontId="74" type="noConversion"/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990000"/>
  </sheetPr>
  <dimension ref="D2:AN13"/>
  <sheetViews>
    <sheetView showGridLines="0" workbookViewId="0">
      <pane xSplit="4" ySplit="4" topLeftCell="I5" activePane="bottomRight" state="frozen"/>
      <selection pane="topRight" activeCell="E1" sqref="E1"/>
      <selection pane="bottomLeft" activeCell="A5" sqref="A5"/>
      <selection pane="bottomRight" activeCell="D3" sqref="D3"/>
    </sheetView>
  </sheetViews>
  <sheetFormatPr baseColWidth="10" defaultColWidth="8.83203125" defaultRowHeight="15" outlineLevelCol="1"/>
  <cols>
    <col min="1" max="1" width="1.5" customWidth="1"/>
    <col min="2" max="2" width="1.33203125" customWidth="1"/>
    <col min="3" max="3" width="2.83203125" customWidth="1"/>
    <col min="4" max="4" width="32.6640625" customWidth="1"/>
    <col min="5" max="8" width="0" style="62" hidden="1" customWidth="1" outlineLevel="1"/>
    <col min="9" max="9" width="8.83203125" style="62" collapsed="1"/>
    <col min="10" max="13" width="0" style="62" hidden="1" customWidth="1" outlineLevel="1"/>
    <col min="14" max="14" width="8.83203125" style="62" collapsed="1"/>
    <col min="15" max="18" width="0" style="62" hidden="1" customWidth="1" outlineLevel="1"/>
    <col min="19" max="19" width="8.83203125" collapsed="1"/>
    <col min="20" max="23" width="8.83203125" customWidth="1" outlineLevel="1"/>
    <col min="25" max="28" width="8.83203125" customWidth="1" outlineLevel="1"/>
  </cols>
  <sheetData>
    <row r="2" spans="4:40" ht="54.75" customHeight="1"/>
    <row r="3" spans="4:40">
      <c r="E3" s="530" t="s">
        <v>40</v>
      </c>
      <c r="F3" s="530"/>
      <c r="G3" s="530"/>
      <c r="H3" s="530"/>
      <c r="J3" s="530" t="s">
        <v>41</v>
      </c>
      <c r="K3" s="530"/>
      <c r="L3" s="530"/>
      <c r="M3" s="530"/>
      <c r="O3" s="531" t="s">
        <v>44</v>
      </c>
      <c r="P3" s="531"/>
      <c r="Q3" s="531"/>
      <c r="R3" s="531"/>
      <c r="S3" s="1"/>
      <c r="T3" s="531" t="s">
        <v>43</v>
      </c>
      <c r="U3" s="531"/>
      <c r="V3" s="531"/>
      <c r="W3" s="531"/>
      <c r="X3" s="1"/>
      <c r="Y3" s="531" t="s">
        <v>42</v>
      </c>
      <c r="Z3" s="531"/>
      <c r="AA3" s="531"/>
      <c r="AB3" s="531"/>
      <c r="AC3" s="1"/>
      <c r="AD3" s="531" t="s">
        <v>45</v>
      </c>
      <c r="AE3" s="531"/>
      <c r="AF3" s="531"/>
      <c r="AG3" s="531"/>
      <c r="AH3" s="1"/>
    </row>
    <row r="4" spans="4:40">
      <c r="E4" s="35" t="s">
        <v>13</v>
      </c>
      <c r="F4" s="35" t="s">
        <v>14</v>
      </c>
      <c r="G4" s="35" t="s">
        <v>15</v>
      </c>
      <c r="H4" s="35" t="s">
        <v>16</v>
      </c>
      <c r="I4" s="48">
        <v>2017</v>
      </c>
      <c r="J4" s="35" t="s">
        <v>17</v>
      </c>
      <c r="K4" s="35" t="s">
        <v>18</v>
      </c>
      <c r="L4" s="35" t="s">
        <v>19</v>
      </c>
      <c r="M4" s="35" t="s">
        <v>20</v>
      </c>
      <c r="N4" s="48">
        <v>2018</v>
      </c>
      <c r="O4" s="35" t="s">
        <v>21</v>
      </c>
      <c r="P4" s="35" t="s">
        <v>22</v>
      </c>
      <c r="Q4" s="35" t="s">
        <v>23</v>
      </c>
      <c r="R4" s="35" t="s">
        <v>24</v>
      </c>
      <c r="S4" s="48">
        <v>2019</v>
      </c>
      <c r="T4" s="35" t="s">
        <v>25</v>
      </c>
      <c r="U4" s="35" t="s">
        <v>26</v>
      </c>
      <c r="V4" s="35" t="s">
        <v>27</v>
      </c>
      <c r="W4" s="35" t="s">
        <v>28</v>
      </c>
      <c r="X4" s="48">
        <v>2020</v>
      </c>
      <c r="Y4" s="35" t="s">
        <v>29</v>
      </c>
      <c r="Z4" s="35" t="s">
        <v>30</v>
      </c>
      <c r="AA4" s="35" t="s">
        <v>31</v>
      </c>
      <c r="AB4" s="35" t="s">
        <v>32</v>
      </c>
      <c r="AC4" s="48">
        <v>2021</v>
      </c>
      <c r="AD4" s="35" t="s">
        <v>33</v>
      </c>
      <c r="AE4" s="35" t="s">
        <v>34</v>
      </c>
      <c r="AF4" s="35" t="s">
        <v>35</v>
      </c>
      <c r="AG4" s="35" t="s">
        <v>36</v>
      </c>
      <c r="AH4" s="48">
        <v>2022</v>
      </c>
    </row>
    <row r="5" spans="4:40">
      <c r="D5" s="26" t="s">
        <v>120</v>
      </c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</row>
    <row r="7" spans="4:40">
      <c r="D7" s="67" t="s">
        <v>121</v>
      </c>
      <c r="E7" s="67"/>
      <c r="F7" s="67"/>
      <c r="G7" s="67"/>
      <c r="H7" s="67"/>
      <c r="I7" s="6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69"/>
      <c r="AJ7" s="69"/>
      <c r="AK7" s="69"/>
      <c r="AL7" s="69"/>
      <c r="AM7" s="69"/>
      <c r="AN7" s="64"/>
    </row>
    <row r="8" spans="4:40">
      <c r="D8" s="10" t="str">
        <f>'SCENARIO ANALYSIS'!D8</f>
        <v>CEC</v>
      </c>
      <c r="E8" s="413">
        <f>'SCENARIO ANALYSIS'!O8</f>
        <v>1983</v>
      </c>
      <c r="F8" s="413">
        <f>'SCENARIO ANALYSIS'!P8</f>
        <v>1973</v>
      </c>
      <c r="G8" s="413">
        <f>'SCENARIO ANALYSIS'!Q8</f>
        <v>1901</v>
      </c>
      <c r="H8" s="414">
        <f>'SCENARIO ANALYSIS'!R8</f>
        <v>1996.8999999999999</v>
      </c>
      <c r="I8" s="415">
        <f>SUM(E8:H8)</f>
        <v>7853.9</v>
      </c>
      <c r="J8" s="413">
        <f>'SCENARIO ANALYSIS'!T8</f>
        <v>1811.3627369394164</v>
      </c>
      <c r="K8" s="413">
        <f>'SCENARIO ANALYSIS'!U8</f>
        <v>1808.3897348381311</v>
      </c>
      <c r="L8" s="413">
        <f>'SCENARIO ANALYSIS'!V8</f>
        <v>1751.0068148189084</v>
      </c>
      <c r="M8" s="414">
        <f>'SCENARIO ANALYSIS'!W8</f>
        <v>1847.6876108047593</v>
      </c>
      <c r="N8" s="415">
        <f>SUM(J8:M8)</f>
        <v>7218.4468974012152</v>
      </c>
      <c r="O8" s="413">
        <f>'SCENARIO ANALYSIS'!Y8</f>
        <v>1670.2595557390187</v>
      </c>
      <c r="P8" s="413">
        <f>'SCENARIO ANALYSIS'!Z8</f>
        <v>1672.6008030637083</v>
      </c>
      <c r="Q8" s="413">
        <f>'SCENARIO ANALYSIS'!AA8</f>
        <v>1626.6642685350382</v>
      </c>
      <c r="R8" s="414">
        <f>'SCENARIO ANALYSIS'!AB8</f>
        <v>1723.4309657022695</v>
      </c>
      <c r="S8" s="415">
        <f>SUM(O8:R8)</f>
        <v>6692.9555930400347</v>
      </c>
      <c r="T8" s="413">
        <f>'SCENARIO ANALYSIS'!AD8</f>
        <v>1553.1592981566971</v>
      </c>
      <c r="U8" s="413">
        <f>'SCENARIO ANALYSIS'!AE8</f>
        <v>1559.567309916805</v>
      </c>
      <c r="V8" s="413">
        <f>'SCENARIO ANALYSIS'!AF8</f>
        <v>1522.7028117045011</v>
      </c>
      <c r="W8" s="414">
        <f>'SCENARIO ANALYSIS'!AG8</f>
        <v>1619.1205975694377</v>
      </c>
      <c r="X8" s="415">
        <f>SUM(T8:W8)</f>
        <v>6254.5500173474411</v>
      </c>
      <c r="Y8" s="413">
        <f>'SCENARIO ANALYSIS'!AI8</f>
        <v>1455.1578720130524</v>
      </c>
      <c r="Z8" s="413">
        <f>'SCENARIO ANALYSIS'!AJ8</f>
        <v>1464.712036343311</v>
      </c>
      <c r="AA8" s="413">
        <f>'SCENARIO ANALYSIS'!AK8</f>
        <v>1435.1173368661136</v>
      </c>
      <c r="AB8" s="414">
        <f>'SCENARIO ANALYSIS'!AL8</f>
        <v>1530.9232969229399</v>
      </c>
      <c r="AC8" s="415">
        <f>SUM(Y8:AB8)</f>
        <v>5885.9105421454169</v>
      </c>
      <c r="AD8" s="413">
        <f>'SCENARIO ANALYSIS'!AN8</f>
        <v>1372.5219233363066</v>
      </c>
      <c r="AE8" s="413">
        <f>'SCENARIO ANALYSIS'!AO8</f>
        <v>1384.5346089073439</v>
      </c>
      <c r="AF8" s="413">
        <f>'SCENARIO ANALYSIS'!AP8</f>
        <v>1360.8245141374509</v>
      </c>
      <c r="AG8" s="414">
        <f>'SCENARIO ANALYSIS'!AQ8</f>
        <v>1455.8696089893056</v>
      </c>
      <c r="AH8" s="415">
        <f>SUM(AD8:AG8)</f>
        <v>5573.750655370407</v>
      </c>
    </row>
    <row r="9" spans="4:40">
      <c r="D9" s="11" t="str">
        <f>'SCENARIO ANALYSIS'!D16</f>
        <v>CTG</v>
      </c>
      <c r="E9" s="413">
        <f>'SCENARIO ANALYSIS'!O16</f>
        <v>1535</v>
      </c>
      <c r="F9" s="413">
        <f>'SCENARIO ANALYSIS'!P16</f>
        <v>1512</v>
      </c>
      <c r="G9" s="413">
        <f>'SCENARIO ANALYSIS'!Q16</f>
        <v>1755</v>
      </c>
      <c r="H9" s="414">
        <f>'SCENARIO ANALYSIS'!R16</f>
        <v>1849</v>
      </c>
      <c r="I9" s="415">
        <f t="shared" ref="I9:I11" si="0">SUM(E9:H9)</f>
        <v>6651</v>
      </c>
      <c r="J9" s="413">
        <f>'SCENARIO ANALYSIS'!T16</f>
        <v>1661.6780065301111</v>
      </c>
      <c r="K9" s="413">
        <f>'SCENARIO ANALYSIS'!U16</f>
        <v>1620.5863114399901</v>
      </c>
      <c r="L9" s="413">
        <f>'SCENARIO ANALYSIS'!V16</f>
        <v>1846.4340899531412</v>
      </c>
      <c r="M9" s="414">
        <f>'SCENARIO ANALYSIS'!W16</f>
        <v>1944.4277815500934</v>
      </c>
      <c r="N9" s="415">
        <f t="shared" ref="N9:N11" si="1">SUM(J9:M9)</f>
        <v>7073.1261894733361</v>
      </c>
      <c r="O9" s="413">
        <f>'SCENARIO ANALYSIS'!Y16</f>
        <v>1785.0970629639526</v>
      </c>
      <c r="P9" s="413">
        <f>'SCENARIO ANALYSIS'!Z16</f>
        <v>1725.3324363979707</v>
      </c>
      <c r="Q9" s="413">
        <f>'SCENARIO ANALYSIS'!AA16</f>
        <v>1933.0120492727935</v>
      </c>
      <c r="R9" s="414">
        <f>'SCENARIO ANALYSIS'!AB16</f>
        <v>2034.745351382395</v>
      </c>
      <c r="S9" s="415">
        <f t="shared" ref="S9:S11" si="2">SUM(O9:R9)</f>
        <v>7478.1869000171118</v>
      </c>
      <c r="T9" s="413">
        <f>'SCENARIO ANALYSIS'!AD16</f>
        <v>1904.4243302559485</v>
      </c>
      <c r="U9" s="413">
        <f>'SCENARIO ANALYSIS'!AE16</f>
        <v>1825.6971606530922</v>
      </c>
      <c r="V9" s="413">
        <f>'SCENARIO ANALYSIS'!AF16</f>
        <v>2014.5858327775848</v>
      </c>
      <c r="W9" s="414">
        <f>'SCENARIO ANALYSIS'!AG16</f>
        <v>2119.8068442274184</v>
      </c>
      <c r="X9" s="415">
        <f t="shared" ref="X9:X11" si="3">SUM(T9:W9)</f>
        <v>7864.5141679140434</v>
      </c>
      <c r="Y9" s="413">
        <f>'SCENARIO ANALYSIS'!AI16</f>
        <v>2018.9978065266776</v>
      </c>
      <c r="Z9" s="413">
        <f>'SCENARIO ANALYSIS'!AJ16</f>
        <v>1921.279918742523</v>
      </c>
      <c r="AA9" s="413">
        <f>'SCENARIO ANALYSIS'!AK16</f>
        <v>2091.1004358670889</v>
      </c>
      <c r="AB9" s="414">
        <f>'SCENARIO ANALYSIS'!AL16</f>
        <v>2199.5625449255522</v>
      </c>
      <c r="AC9" s="415">
        <f t="shared" ref="AC9:AC11" si="4">SUM(Y9:AB9)</f>
        <v>8230.9407060618414</v>
      </c>
      <c r="AD9" s="413">
        <f>'SCENARIO ANALYSIS'!AN16</f>
        <v>2128.3175806135191</v>
      </c>
      <c r="AE9" s="413">
        <f>'SCENARIO ANALYSIS'!AO16</f>
        <v>2011.8081366133333</v>
      </c>
      <c r="AF9" s="413">
        <f>'SCENARIO ANALYSIS'!AP16</f>
        <v>2162.579022453323</v>
      </c>
      <c r="AG9" s="414">
        <f>'SCENARIO ANALYSIS'!AQ16</f>
        <v>2274.0433341681492</v>
      </c>
      <c r="AH9" s="415">
        <f t="shared" ref="AH9:AH11" si="5">SUM(AD9:AG9)</f>
        <v>8576.7480738483246</v>
      </c>
    </row>
    <row r="10" spans="4:40">
      <c r="D10" s="65" t="s">
        <v>117</v>
      </c>
      <c r="E10" s="413">
        <f>'SCENARIO ANALYSIS'!O24</f>
        <v>1296</v>
      </c>
      <c r="F10" s="413">
        <f>'SCENARIO ANALYSIS'!P24</f>
        <v>1391</v>
      </c>
      <c r="G10" s="413">
        <f>'SCENARIO ANALYSIS'!Q24</f>
        <v>1454</v>
      </c>
      <c r="H10" s="414">
        <f>'SCENARIO ANALYSIS'!R24</f>
        <v>1483.3</v>
      </c>
      <c r="I10" s="415">
        <f t="shared" si="0"/>
        <v>5624.3</v>
      </c>
      <c r="J10" s="413">
        <f>'SCENARIO ANALYSIS'!T24</f>
        <v>1502.6981791378789</v>
      </c>
      <c r="K10" s="413">
        <f>'SCENARIO ANALYSIS'!U24</f>
        <v>1637.3360321230318</v>
      </c>
      <c r="L10" s="413">
        <f>'SCENARIO ANALYSIS'!V24</f>
        <v>1747.1019369093196</v>
      </c>
      <c r="M10" s="414">
        <f>'SCENARIO ANALYSIS'!W24</f>
        <v>1794.1126374346059</v>
      </c>
      <c r="N10" s="415">
        <f t="shared" si="1"/>
        <v>6681.2487856048356</v>
      </c>
      <c r="O10" s="413">
        <f>'SCENARIO ANALYSIS'!Y24</f>
        <v>1718.3960801251051</v>
      </c>
      <c r="P10" s="413">
        <f>'SCENARIO ANALYSIS'!Z24</f>
        <v>1898.3003565405236</v>
      </c>
      <c r="Q10" s="413">
        <f>'SCENARIO ANALYSIS'!AA24</f>
        <v>2064.0696573477867</v>
      </c>
      <c r="R10" s="414">
        <f>'SCENARIO ANALYSIS'!AB24</f>
        <v>2132.4592919389042</v>
      </c>
      <c r="S10" s="415">
        <f t="shared" si="2"/>
        <v>7813.2253859523198</v>
      </c>
      <c r="T10" s="413">
        <f>'SCENARIO ANALYSIS'!AD24</f>
        <v>1940.3894181248102</v>
      </c>
      <c r="U10" s="413">
        <f>'SCENARIO ANALYSIS'!AE24</f>
        <v>2170.6023118693679</v>
      </c>
      <c r="V10" s="413">
        <f>'SCENARIO ANALYSIS'!AF24</f>
        <v>2401.0958469848965</v>
      </c>
      <c r="W10" s="414">
        <f>'SCENARIO ANALYSIS'!AG24</f>
        <v>2494.3983402548652</v>
      </c>
      <c r="X10" s="415">
        <f t="shared" si="3"/>
        <v>9006.4859172339402</v>
      </c>
      <c r="Y10" s="413">
        <f>'SCENARIO ANALYSIS'!AI24</f>
        <v>2165.9940828687636</v>
      </c>
      <c r="Z10" s="413">
        <f>'SCENARIO ANALYSIS'!AJ24</f>
        <v>2450.8284239038412</v>
      </c>
      <c r="AA10" s="413">
        <f>'SCENARIO ANALYSIS'!AK24</f>
        <v>2753.9468097631407</v>
      </c>
      <c r="AB10" s="414">
        <f>'SCENARIO ANALYSIS'!AL24</f>
        <v>2875.4317078436529</v>
      </c>
      <c r="AC10" s="415">
        <f t="shared" si="4"/>
        <v>10246.201024379399</v>
      </c>
      <c r="AD10" s="413">
        <f>'SCENARIO ANALYSIS'!AN24</f>
        <v>2392.645768300913</v>
      </c>
      <c r="AE10" s="413">
        <f>'SCENARIO ANALYSIS'!AO24</f>
        <v>2735.5915539644584</v>
      </c>
      <c r="AF10" s="413">
        <f>'SCENARIO ANALYSIS'!AP24</f>
        <v>3118.1802934188227</v>
      </c>
      <c r="AG10" s="414">
        <f>'SCENARIO ANALYSIS'!AQ24</f>
        <v>3270.7462285065276</v>
      </c>
      <c r="AH10" s="415">
        <f t="shared" si="5"/>
        <v>11517.16384419072</v>
      </c>
    </row>
    <row r="11" spans="4:40">
      <c r="D11" s="66" t="s">
        <v>118</v>
      </c>
      <c r="E11" s="413">
        <f>'SCENARIO ANALYSIS'!O32</f>
        <v>1049</v>
      </c>
      <c r="F11" s="413">
        <f>'SCENARIO ANALYSIS'!P32</f>
        <v>1132</v>
      </c>
      <c r="G11" s="413">
        <f>'SCENARIO ANALYSIS'!Q32</f>
        <v>1160</v>
      </c>
      <c r="H11" s="414">
        <f>'SCENARIO ANALYSIS'!R32</f>
        <v>1227.5999999999999</v>
      </c>
      <c r="I11" s="415">
        <f t="shared" si="0"/>
        <v>4568.6000000000004</v>
      </c>
      <c r="J11" s="413">
        <f>'SCENARIO ANALYSIS'!T32</f>
        <v>1164.8373439374072</v>
      </c>
      <c r="K11" s="413">
        <f>'SCENARIO ANALYSIS'!U32</f>
        <v>1279.6355457077811</v>
      </c>
      <c r="L11" s="413">
        <f>'SCENARIO ANALYSIS'!V32</f>
        <v>1334.5822337333177</v>
      </c>
      <c r="M11" s="414">
        <f>'SCENARIO ANALYSIS'!W32</f>
        <v>1409.0848445222052</v>
      </c>
      <c r="N11" s="415">
        <f t="shared" si="1"/>
        <v>5188.1399679007118</v>
      </c>
      <c r="O11" s="413">
        <f>'SCENARIO ANALYSIS'!Y32</f>
        <v>1280.6033092727093</v>
      </c>
      <c r="P11" s="413">
        <f>'SCENARIO ANALYSIS'!Z32</f>
        <v>1429.836714336649</v>
      </c>
      <c r="Q11" s="413">
        <f>'SCENARIO ANALYSIS'!AA32</f>
        <v>1515.3537102155308</v>
      </c>
      <c r="R11" s="414">
        <f>'SCENARIO ANALYSIS'!AB32</f>
        <v>1596.5683811253639</v>
      </c>
      <c r="S11" s="415">
        <f t="shared" si="2"/>
        <v>5822.3621149502533</v>
      </c>
      <c r="T11" s="413">
        <f>'SCENARIO ANALYSIS'!AD32</f>
        <v>1395.1474137977041</v>
      </c>
      <c r="U11" s="413">
        <f>'SCENARIO ANALYSIS'!AE32</f>
        <v>1580.8850589578776</v>
      </c>
      <c r="V11" s="413">
        <f>'SCENARIO ANALYSIS'!AF32</f>
        <v>1700.0852678505769</v>
      </c>
      <c r="W11" s="414">
        <f>'SCENARIO ANALYSIS'!AG32</f>
        <v>1787.7543547146934</v>
      </c>
      <c r="X11" s="415">
        <f t="shared" si="3"/>
        <v>6463.8720953208522</v>
      </c>
      <c r="Y11" s="413">
        <f>'SCENARIO ANALYSIS'!AI32</f>
        <v>1507.4580091499222</v>
      </c>
      <c r="Z11" s="413">
        <f>'SCENARIO ANALYSIS'!AJ32</f>
        <v>1731.1896790015189</v>
      </c>
      <c r="AA11" s="413">
        <f>'SCENARIO ANALYSIS'!AK32</f>
        <v>1886.6116595258159</v>
      </c>
      <c r="AB11" s="414">
        <f>'SCENARIO ANALYSIS'!AL32</f>
        <v>1980.4264662238768</v>
      </c>
      <c r="AC11" s="415">
        <f t="shared" si="4"/>
        <v>7105.6858139011329</v>
      </c>
      <c r="AD11" s="413">
        <f>'SCENARIO ANALYSIS'!AN32</f>
        <v>1616.6745366089922</v>
      </c>
      <c r="AE11" s="413">
        <f>'SCENARIO ANALYSIS'!AO32</f>
        <v>1879.325196448684</v>
      </c>
      <c r="AF11" s="413">
        <f>'SCENARIO ANALYSIS'!AP32</f>
        <v>2072.9038325118377</v>
      </c>
      <c r="AG11" s="414">
        <f>'SCENARIO ANALYSIS'!AQ32</f>
        <v>2172.5197776661121</v>
      </c>
      <c r="AH11" s="415">
        <f t="shared" si="5"/>
        <v>7741.423343235625</v>
      </c>
    </row>
    <row r="12" spans="4:40">
      <c r="I12" s="36"/>
      <c r="N12" s="36"/>
      <c r="S12" s="68"/>
      <c r="X12" s="68"/>
      <c r="AC12" s="68"/>
      <c r="AH12" s="68"/>
    </row>
    <row r="13" spans="4:40" s="71" customFormat="1">
      <c r="D13" s="67" t="s">
        <v>122</v>
      </c>
      <c r="E13" s="70">
        <f>SUM(E8:E12)</f>
        <v>5863</v>
      </c>
      <c r="F13" s="70">
        <f t="shared" ref="F13:AH13" si="6">SUM(F8:F12)</f>
        <v>6008</v>
      </c>
      <c r="G13" s="70">
        <f t="shared" si="6"/>
        <v>6270</v>
      </c>
      <c r="H13" s="70">
        <f t="shared" si="6"/>
        <v>6556.7999999999993</v>
      </c>
      <c r="I13" s="72">
        <f t="shared" si="6"/>
        <v>24697.800000000003</v>
      </c>
      <c r="J13" s="72">
        <f t="shared" si="6"/>
        <v>6140.5762665448137</v>
      </c>
      <c r="K13" s="72">
        <f t="shared" si="6"/>
        <v>6345.9476241089342</v>
      </c>
      <c r="L13" s="72">
        <f t="shared" si="6"/>
        <v>6679.1250754146868</v>
      </c>
      <c r="M13" s="72">
        <f t="shared" si="6"/>
        <v>6995.312874311664</v>
      </c>
      <c r="N13" s="72">
        <f t="shared" si="6"/>
        <v>26160.9618403801</v>
      </c>
      <c r="O13" s="72">
        <f t="shared" si="6"/>
        <v>6454.3560081007854</v>
      </c>
      <c r="P13" s="72">
        <f t="shared" si="6"/>
        <v>6726.0703103388514</v>
      </c>
      <c r="Q13" s="72">
        <f t="shared" si="6"/>
        <v>7139.0996853711486</v>
      </c>
      <c r="R13" s="72">
        <f t="shared" si="6"/>
        <v>7487.2039901489325</v>
      </c>
      <c r="S13" s="72">
        <f t="shared" si="6"/>
        <v>27806.729993959721</v>
      </c>
      <c r="T13" s="72">
        <f t="shared" si="6"/>
        <v>6793.1204603351598</v>
      </c>
      <c r="U13" s="72">
        <f t="shared" si="6"/>
        <v>7136.7518413971429</v>
      </c>
      <c r="V13" s="72">
        <f t="shared" si="6"/>
        <v>7638.4697593175597</v>
      </c>
      <c r="W13" s="72">
        <f t="shared" si="6"/>
        <v>8021.0801367664144</v>
      </c>
      <c r="X13" s="72">
        <f t="shared" si="6"/>
        <v>29589.422197816275</v>
      </c>
      <c r="Y13" s="72">
        <f t="shared" si="6"/>
        <v>7147.6077705584148</v>
      </c>
      <c r="Z13" s="72">
        <f t="shared" si="6"/>
        <v>7568.0100579911941</v>
      </c>
      <c r="AA13" s="72">
        <f t="shared" si="6"/>
        <v>8166.7762420221588</v>
      </c>
      <c r="AB13" s="72">
        <f t="shared" si="6"/>
        <v>8586.3440159160218</v>
      </c>
      <c r="AC13" s="72">
        <f t="shared" si="6"/>
        <v>31468.738086487792</v>
      </c>
      <c r="AD13" s="72">
        <f t="shared" si="6"/>
        <v>7510.1598088597311</v>
      </c>
      <c r="AE13" s="72">
        <f t="shared" si="6"/>
        <v>8011.2594959338203</v>
      </c>
      <c r="AF13" s="72">
        <f t="shared" si="6"/>
        <v>8714.4876625214347</v>
      </c>
      <c r="AG13" s="72">
        <f t="shared" si="6"/>
        <v>9173.1789493300948</v>
      </c>
      <c r="AH13" s="72">
        <f t="shared" si="6"/>
        <v>33409.085916645075</v>
      </c>
    </row>
  </sheetData>
  <mergeCells count="6">
    <mergeCell ref="AD3:AG3"/>
    <mergeCell ref="E3:H3"/>
    <mergeCell ref="J3:M3"/>
    <mergeCell ref="O3:R3"/>
    <mergeCell ref="T3:W3"/>
    <mergeCell ref="Y3:AB3"/>
  </mergeCells>
  <phoneticPr fontId="74" type="noConversion"/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3"/>
  </sheetPr>
  <dimension ref="A2:V52"/>
  <sheetViews>
    <sheetView zoomScale="85" zoomScaleNormal="85" zoomScalePageLayoutView="85" workbookViewId="0">
      <selection activeCell="H29" sqref="H29"/>
    </sheetView>
  </sheetViews>
  <sheetFormatPr baseColWidth="10" defaultColWidth="10.1640625" defaultRowHeight="16"/>
  <cols>
    <col min="1" max="2" width="1.83203125" style="80" customWidth="1"/>
    <col min="3" max="3" width="42.33203125" style="80" customWidth="1"/>
    <col min="4" max="4" width="13.83203125" style="80" customWidth="1"/>
    <col min="5" max="5" width="10.5" style="80" bestFit="1" customWidth="1"/>
    <col min="6" max="6" width="14.1640625" style="115" customWidth="1"/>
    <col min="7" max="11" width="11.83203125" style="115" bestFit="1" customWidth="1"/>
    <col min="12" max="12" width="1.83203125" style="80" customWidth="1"/>
    <col min="13" max="13" width="40.1640625" style="80" bestFit="1" customWidth="1"/>
    <col min="14" max="14" width="15" style="80" bestFit="1" customWidth="1"/>
    <col min="15" max="15" width="1.83203125" style="80" customWidth="1"/>
    <col min="16" max="16" width="32.6640625" style="80" bestFit="1" customWidth="1"/>
    <col min="17" max="17" width="7.5" style="80" customWidth="1"/>
    <col min="18" max="16384" width="10.1640625" style="80"/>
  </cols>
  <sheetData>
    <row r="2" spans="2:22">
      <c r="B2" s="541" t="s">
        <v>193</v>
      </c>
      <c r="C2" s="542"/>
      <c r="D2" s="542"/>
      <c r="E2" s="542"/>
      <c r="F2" s="542"/>
      <c r="G2" s="542"/>
      <c r="H2" s="542"/>
      <c r="I2" s="542"/>
      <c r="J2" s="542"/>
      <c r="K2" s="543"/>
      <c r="M2" s="538" t="s">
        <v>192</v>
      </c>
      <c r="N2" s="540"/>
      <c r="P2" s="536" t="s">
        <v>152</v>
      </c>
      <c r="Q2" s="89"/>
      <c r="R2" s="532" t="s">
        <v>154</v>
      </c>
      <c r="S2" s="532"/>
      <c r="T2" s="532"/>
      <c r="U2" s="532"/>
      <c r="V2" s="533"/>
    </row>
    <row r="3" spans="2:22" ht="19">
      <c r="B3" s="126"/>
      <c r="C3" s="125"/>
      <c r="D3" s="124"/>
      <c r="E3" s="123"/>
      <c r="F3" s="133"/>
      <c r="G3" s="133"/>
      <c r="H3" s="133"/>
      <c r="I3" s="139"/>
      <c r="J3" s="139"/>
      <c r="K3" s="140"/>
      <c r="M3" s="276" t="s">
        <v>149</v>
      </c>
      <c r="N3" s="457">
        <v>6</v>
      </c>
      <c r="P3" s="537"/>
      <c r="Q3" s="88">
        <f>$N$13</f>
        <v>25.238834959889012</v>
      </c>
      <c r="R3" s="85">
        <f>S3-0.25%</f>
        <v>6.7499999999999991E-2</v>
      </c>
      <c r="S3" s="85">
        <f>T3-0.25%</f>
        <v>6.9999999999999993E-2</v>
      </c>
      <c r="T3" s="85">
        <v>7.2499999999999995E-2</v>
      </c>
      <c r="U3" s="85">
        <f>T3+0.25%</f>
        <v>7.4999999999999997E-2</v>
      </c>
      <c r="V3" s="87">
        <f>U3+0.25%</f>
        <v>7.7499999999999999E-2</v>
      </c>
    </row>
    <row r="4" spans="2:22" ht="19">
      <c r="B4" s="126"/>
      <c r="C4" s="125"/>
      <c r="D4" s="124"/>
      <c r="E4" s="123"/>
      <c r="F4" s="544" t="s">
        <v>196</v>
      </c>
      <c r="G4" s="544"/>
      <c r="H4" s="544"/>
      <c r="I4" s="544"/>
      <c r="J4" s="544"/>
      <c r="K4" s="545"/>
      <c r="M4" s="276"/>
      <c r="N4" s="283"/>
      <c r="P4" s="534" t="s">
        <v>149</v>
      </c>
      <c r="Q4" s="99">
        <v>5</v>
      </c>
      <c r="R4" s="91">
        <f t="dataTable" ref="R4:V8" dt2D="1" dtr="1" r1="D46" r2="N3" ca="1"/>
        <v>22.700310515897336</v>
      </c>
      <c r="S4" s="91">
        <v>22.600257431189142</v>
      </c>
      <c r="T4" s="91">
        <v>22.50109411115654</v>
      </c>
      <c r="U4" s="91">
        <v>22.402809201766942</v>
      </c>
      <c r="V4" s="96">
        <v>22.305391530412898</v>
      </c>
    </row>
    <row r="5" spans="2:22" ht="17" thickBot="1">
      <c r="B5" s="108"/>
      <c r="C5" s="90"/>
      <c r="D5" s="90"/>
      <c r="E5" s="122" t="s">
        <v>191</v>
      </c>
      <c r="F5" s="141">
        <v>0</v>
      </c>
      <c r="G5" s="141">
        <v>1</v>
      </c>
      <c r="H5" s="141">
        <v>2</v>
      </c>
      <c r="I5" s="141">
        <v>3.0027397260273974</v>
      </c>
      <c r="J5" s="141">
        <v>4.0027397260273974</v>
      </c>
      <c r="K5" s="142">
        <v>5.0027397260273974</v>
      </c>
      <c r="M5" s="276" t="s">
        <v>167</v>
      </c>
      <c r="N5" s="452">
        <f>D35*N3</f>
        <v>9440291.0386864878</v>
      </c>
      <c r="P5" s="534"/>
      <c r="Q5" s="99">
        <v>5.5</v>
      </c>
      <c r="R5" s="91">
        <v>24.075162895300938</v>
      </c>
      <c r="S5" s="91">
        <v>23.971897538678249</v>
      </c>
      <c r="T5" s="91">
        <v>23.869536922357796</v>
      </c>
      <c r="U5" s="91">
        <v>23.768069587825867</v>
      </c>
      <c r="V5" s="96">
        <v>23.667484258963565</v>
      </c>
    </row>
    <row r="6" spans="2:22" ht="17" thickBot="1">
      <c r="B6" s="121" t="s">
        <v>190</v>
      </c>
      <c r="C6" s="120"/>
      <c r="D6" s="119">
        <v>2015</v>
      </c>
      <c r="E6" s="119">
        <v>2016</v>
      </c>
      <c r="F6" s="118">
        <v>2017</v>
      </c>
      <c r="G6" s="118">
        <v>2018</v>
      </c>
      <c r="H6" s="118">
        <v>2019</v>
      </c>
      <c r="I6" s="118">
        <v>2020</v>
      </c>
      <c r="J6" s="118">
        <v>2021</v>
      </c>
      <c r="K6" s="117">
        <v>2022</v>
      </c>
      <c r="M6" s="276" t="s">
        <v>165</v>
      </c>
      <c r="N6" s="458">
        <f>N5/(1+$D$46)</f>
        <v>8802303.1195799895</v>
      </c>
      <c r="P6" s="534"/>
      <c r="Q6" s="99">
        <v>6</v>
      </c>
      <c r="R6" s="91">
        <v>25.450015274704544</v>
      </c>
      <c r="S6" s="91">
        <v>25.343537646167363</v>
      </c>
      <c r="T6" s="97">
        <v>25.237979733559055</v>
      </c>
      <c r="U6" s="91">
        <v>25.133329973884798</v>
      </c>
      <c r="V6" s="96">
        <v>25.02957698751424</v>
      </c>
    </row>
    <row r="7" spans="2:22">
      <c r="B7" s="116" t="s">
        <v>189</v>
      </c>
      <c r="C7" s="95"/>
      <c r="D7" s="416">
        <f>TOWER!N51</f>
        <v>612656</v>
      </c>
      <c r="E7" s="417">
        <f>TOWER!S51</f>
        <v>437692</v>
      </c>
      <c r="F7" s="428">
        <f>TOWER!X51</f>
        <v>826568</v>
      </c>
      <c r="G7" s="428">
        <f>TOWER!AC51</f>
        <v>1033826.4478576861</v>
      </c>
      <c r="H7" s="428">
        <f>TOWER!AH51</f>
        <v>1126507.1813654276</v>
      </c>
      <c r="I7" s="428">
        <f>TOWER!AM51</f>
        <v>1224223.5339617864</v>
      </c>
      <c r="J7" s="428">
        <f>TOWER!AR51</f>
        <v>1325324.3256589742</v>
      </c>
      <c r="K7" s="428">
        <f>TOWER!AW51</f>
        <v>1428304.2745196978</v>
      </c>
      <c r="M7" s="278" t="s">
        <v>163</v>
      </c>
      <c r="N7" s="459">
        <f>SUM($F$25:$K$25)</f>
        <v>6265833.9567847578</v>
      </c>
      <c r="P7" s="534"/>
      <c r="Q7" s="99">
        <v>6.5</v>
      </c>
      <c r="R7" s="91">
        <v>26.824867654108154</v>
      </c>
      <c r="S7" s="91">
        <v>26.715177753656477</v>
      </c>
      <c r="T7" s="91">
        <v>26.606422544760317</v>
      </c>
      <c r="U7" s="91">
        <v>26.49859035994373</v>
      </c>
      <c r="V7" s="96">
        <v>26.391669716064918</v>
      </c>
    </row>
    <row r="8" spans="2:22">
      <c r="B8" s="107" t="s">
        <v>188</v>
      </c>
      <c r="C8" s="106"/>
      <c r="D8" s="418">
        <f>TOWER!N17</f>
        <v>23469</v>
      </c>
      <c r="E8" s="419">
        <f>TOWER!S17</f>
        <v>47102</v>
      </c>
      <c r="F8" s="429">
        <f>TOWER!X17</f>
        <v>76707</v>
      </c>
      <c r="G8" s="429">
        <f>TOWER!AC17</f>
        <v>110478.30598221076</v>
      </c>
      <c r="H8" s="429">
        <f>TOWER!AH17</f>
        <v>122063.39767067845</v>
      </c>
      <c r="I8" s="429">
        <f>TOWER!AM17</f>
        <v>134277.9417452233</v>
      </c>
      <c r="J8" s="429">
        <f>TOWER!AR17</f>
        <v>146915.54070737178</v>
      </c>
      <c r="K8" s="429">
        <f>TOWER!AW17</f>
        <v>159788.03431496222</v>
      </c>
      <c r="M8" s="276" t="s">
        <v>161</v>
      </c>
      <c r="N8" s="460">
        <f>N6+N7</f>
        <v>15068137.076364748</v>
      </c>
      <c r="P8" s="535"/>
      <c r="Q8" s="98">
        <v>7</v>
      </c>
      <c r="R8" s="94">
        <v>28.199720033511763</v>
      </c>
      <c r="S8" s="94">
        <v>28.08681786114559</v>
      </c>
      <c r="T8" s="94">
        <v>27.974865355961573</v>
      </c>
      <c r="U8" s="94">
        <v>27.863850746002665</v>
      </c>
      <c r="V8" s="93">
        <v>27.753762444615589</v>
      </c>
    </row>
    <row r="9" spans="2:22">
      <c r="B9" s="116" t="s">
        <v>187</v>
      </c>
      <c r="C9" s="95"/>
      <c r="D9" s="425">
        <f t="shared" ref="D9:K9" si="0">D7-D8</f>
        <v>589187</v>
      </c>
      <c r="E9" s="426">
        <f t="shared" si="0"/>
        <v>390590</v>
      </c>
      <c r="F9" s="427">
        <f t="shared" si="0"/>
        <v>749861</v>
      </c>
      <c r="G9" s="427">
        <f t="shared" si="0"/>
        <v>923348.1418754753</v>
      </c>
      <c r="H9" s="427">
        <f t="shared" si="0"/>
        <v>1004443.7836947491</v>
      </c>
      <c r="I9" s="427">
        <f t="shared" si="0"/>
        <v>1089945.5922165632</v>
      </c>
      <c r="J9" s="427">
        <f t="shared" si="0"/>
        <v>1178408.7849516026</v>
      </c>
      <c r="K9" s="427">
        <f t="shared" si="0"/>
        <v>1268516.2402047357</v>
      </c>
      <c r="M9" s="276" t="s">
        <v>160</v>
      </c>
      <c r="N9" s="455">
        <f>$D$32</f>
        <v>2909144</v>
      </c>
      <c r="P9" s="92"/>
      <c r="Q9" s="99"/>
      <c r="R9" s="91"/>
      <c r="S9" s="91"/>
      <c r="T9" s="91"/>
      <c r="U9" s="91"/>
      <c r="V9" s="91"/>
    </row>
    <row r="10" spans="2:22">
      <c r="B10" s="108" t="s">
        <v>186</v>
      </c>
      <c r="C10" s="90"/>
      <c r="D10" s="420">
        <f>TOWER!N143</f>
        <v>518089</v>
      </c>
      <c r="E10" s="421">
        <f>TOWER!S143</f>
        <v>466813</v>
      </c>
      <c r="F10" s="433">
        <f>TOWER!X143</f>
        <v>552900.3947944399</v>
      </c>
      <c r="G10" s="433">
        <f>TOWER!AC143</f>
        <v>549338.09217454784</v>
      </c>
      <c r="H10" s="433">
        <f>TOWER!AH143</f>
        <v>583356.91655510559</v>
      </c>
      <c r="I10" s="433">
        <f>TOWER!AM143</f>
        <v>634324.36142898153</v>
      </c>
      <c r="J10" s="433">
        <f>TOWER!AR143</f>
        <v>664566.90652784344</v>
      </c>
      <c r="K10" s="433">
        <f>TOWER!AW143</f>
        <v>706881.2435661027</v>
      </c>
      <c r="M10" s="278" t="s">
        <v>158</v>
      </c>
      <c r="N10" s="454">
        <f>$D$33</f>
        <v>1369502</v>
      </c>
    </row>
    <row r="11" spans="2:22">
      <c r="B11" s="108" t="s">
        <v>185</v>
      </c>
      <c r="C11" s="90"/>
      <c r="D11" s="430">
        <f>-1*TOWER!N154</f>
        <v>418561</v>
      </c>
      <c r="E11" s="431">
        <f>-1*TOWER!S154</f>
        <v>413596</v>
      </c>
      <c r="F11" s="432">
        <f>-1*TOWER!X154</f>
        <v>481349.43324387376</v>
      </c>
      <c r="G11" s="432">
        <f>-1*TOWER!AC154</f>
        <v>469809.98758110107</v>
      </c>
      <c r="H11" s="432">
        <f>-1*TOWER!AH154</f>
        <v>506491.78377149976</v>
      </c>
      <c r="I11" s="432">
        <f>-1*TOWER!AM154</f>
        <v>548631.55406791368</v>
      </c>
      <c r="J11" s="432">
        <f>-1*TOWER!AR154</f>
        <v>573298.1137343708</v>
      </c>
      <c r="K11" s="432">
        <f>-1*TOWER!AW154</f>
        <v>611578.66934148257</v>
      </c>
      <c r="M11" s="276" t="s">
        <v>156</v>
      </c>
      <c r="N11" s="460">
        <f>N8-N9+N10</f>
        <v>13528495.076364748</v>
      </c>
      <c r="P11" s="536" t="s">
        <v>155</v>
      </c>
      <c r="Q11" s="89"/>
      <c r="R11" s="532" t="s">
        <v>154</v>
      </c>
      <c r="S11" s="532"/>
      <c r="T11" s="532"/>
      <c r="U11" s="532"/>
      <c r="V11" s="533"/>
    </row>
    <row r="12" spans="2:22">
      <c r="B12" s="108"/>
      <c r="C12" s="90"/>
      <c r="D12" s="131"/>
      <c r="E12" s="132"/>
      <c r="F12" s="135"/>
      <c r="G12" s="135"/>
      <c r="H12" s="135"/>
      <c r="I12" s="135"/>
      <c r="J12" s="135"/>
      <c r="K12" s="135"/>
      <c r="M12" s="282" t="s">
        <v>153</v>
      </c>
      <c r="N12" s="453">
        <f>$D$29</f>
        <v>536019</v>
      </c>
      <c r="P12" s="537"/>
      <c r="Q12" s="88"/>
      <c r="R12" s="85">
        <f>S12-0.25%</f>
        <v>6.7499999999999991E-2</v>
      </c>
      <c r="S12" s="85">
        <f>T12-0.25%</f>
        <v>6.9999999999999993E-2</v>
      </c>
      <c r="T12" s="85">
        <v>7.2499999999999995E-2</v>
      </c>
      <c r="U12" s="85">
        <f>T12+0.25%</f>
        <v>7.4999999999999997E-2</v>
      </c>
      <c r="V12" s="87">
        <f>U12+0.25%</f>
        <v>7.7499999999999999E-2</v>
      </c>
    </row>
    <row r="13" spans="2:22">
      <c r="B13" s="116" t="s">
        <v>184</v>
      </c>
      <c r="C13" s="90"/>
      <c r="D13" s="422">
        <f t="shared" ref="D13:K13" si="1">SUM(D14:D23)</f>
        <v>26776</v>
      </c>
      <c r="E13" s="423">
        <f t="shared" si="1"/>
        <v>288050</v>
      </c>
      <c r="F13" s="424">
        <f t="shared" si="1"/>
        <v>-376379.41196143162</v>
      </c>
      <c r="G13" s="424">
        <f t="shared" si="1"/>
        <v>-38427.68863746617</v>
      </c>
      <c r="H13" s="424">
        <f t="shared" si="1"/>
        <v>-53042.891180450562</v>
      </c>
      <c r="I13" s="424">
        <f t="shared" si="1"/>
        <v>-129775.26598473499</v>
      </c>
      <c r="J13" s="424">
        <f t="shared" si="1"/>
        <v>-83959.535290538799</v>
      </c>
      <c r="K13" s="424">
        <f t="shared" si="1"/>
        <v>-97767.397098614369</v>
      </c>
      <c r="M13" s="276" t="s">
        <v>152</v>
      </c>
      <c r="N13" s="461">
        <f>N11/N12</f>
        <v>25.238834959889012</v>
      </c>
      <c r="P13" s="534" t="s">
        <v>149</v>
      </c>
      <c r="Q13" s="99">
        <v>5</v>
      </c>
      <c r="R13" s="84">
        <f t="shared" ref="R13:V17" si="2">R4/$D$28-1</f>
        <v>0.26253117441030782</v>
      </c>
      <c r="S13" s="84">
        <f t="shared" si="2"/>
        <v>0.25696648671797218</v>
      </c>
      <c r="T13" s="84">
        <f t="shared" si="2"/>
        <v>0.25145128538134265</v>
      </c>
      <c r="U13" s="84">
        <f t="shared" si="2"/>
        <v>0.24598493891918483</v>
      </c>
      <c r="V13" s="83">
        <f t="shared" si="2"/>
        <v>0.2405668259406506</v>
      </c>
    </row>
    <row r="14" spans="2:22" ht="17" thickBot="1">
      <c r="B14" s="108"/>
      <c r="C14" s="90" t="s">
        <v>50</v>
      </c>
      <c r="D14" s="420">
        <f>TOWER!N146</f>
        <v>-135136</v>
      </c>
      <c r="E14" s="421">
        <f>TOWER!S146</f>
        <v>422159</v>
      </c>
      <c r="F14" s="433">
        <f>TOWER!X146</f>
        <v>-352930.31005190546</v>
      </c>
      <c r="G14" s="433">
        <f>TOWER!AC146</f>
        <v>-94872.308328574989</v>
      </c>
      <c r="H14" s="433">
        <f>TOWER!AH146</f>
        <v>-161061.83980200579</v>
      </c>
      <c r="I14" s="433">
        <f>TOWER!AM146</f>
        <v>-241748.00776820583</v>
      </c>
      <c r="J14" s="433">
        <f>TOWER!AR146</f>
        <v>-189477.01288371859</v>
      </c>
      <c r="K14" s="433">
        <f>TOWER!AW146</f>
        <v>-218377.30720704747</v>
      </c>
      <c r="M14" s="276" t="s">
        <v>151</v>
      </c>
      <c r="N14" s="462">
        <f>N13/$D$28-1</f>
        <v>0.40371718353109065</v>
      </c>
      <c r="P14" s="534"/>
      <c r="Q14" s="99">
        <v>5.5</v>
      </c>
      <c r="R14" s="84">
        <f t="shared" si="2"/>
        <v>0.33899682398781628</v>
      </c>
      <c r="S14" s="84">
        <f t="shared" si="2"/>
        <v>0.33325347823572016</v>
      </c>
      <c r="T14" s="84">
        <f t="shared" si="2"/>
        <v>0.32756045174403758</v>
      </c>
      <c r="U14" s="84">
        <f t="shared" si="2"/>
        <v>0.32191710722057088</v>
      </c>
      <c r="V14" s="83">
        <f t="shared" si="2"/>
        <v>0.31632281751743974</v>
      </c>
    </row>
    <row r="15" spans="2:22" ht="17" thickBot="1">
      <c r="B15" s="108"/>
      <c r="C15" s="90" t="s">
        <v>51</v>
      </c>
      <c r="D15" s="420">
        <f>TOWER!N147</f>
        <v>68907</v>
      </c>
      <c r="E15" s="421">
        <f>TOWER!S147</f>
        <v>-2884</v>
      </c>
      <c r="F15" s="433">
        <f>TOWER!X147</f>
        <v>-364406.47319437424</v>
      </c>
      <c r="G15" s="433">
        <f>TOWER!AC147</f>
        <v>-55987.437401673291</v>
      </c>
      <c r="H15" s="433">
        <f>TOWER!AH147</f>
        <v>-381569.03830442484</v>
      </c>
      <c r="I15" s="433">
        <f>TOWER!AM147</f>
        <v>-308471.63212086074</v>
      </c>
      <c r="J15" s="433">
        <f>TOWER!AR147</f>
        <v>-282253.24858855549</v>
      </c>
      <c r="K15" s="433">
        <f>TOWER!AW147</f>
        <v>-363185.7316810675</v>
      </c>
      <c r="M15" s="276"/>
      <c r="N15" s="281"/>
      <c r="P15" s="534"/>
      <c r="Q15" s="99">
        <v>6</v>
      </c>
      <c r="R15" s="84">
        <f t="shared" si="2"/>
        <v>0.41546247356532495</v>
      </c>
      <c r="S15" s="84">
        <f t="shared" si="2"/>
        <v>0.40954046975346836</v>
      </c>
      <c r="T15" s="86">
        <f t="shared" si="2"/>
        <v>0.40366961810673274</v>
      </c>
      <c r="U15" s="84">
        <f t="shared" si="2"/>
        <v>0.39784927552195759</v>
      </c>
      <c r="V15" s="83">
        <f t="shared" si="2"/>
        <v>0.3920788090942291</v>
      </c>
    </row>
    <row r="16" spans="2:22">
      <c r="B16" s="108"/>
      <c r="C16" s="90" t="s">
        <v>52</v>
      </c>
      <c r="D16" s="420">
        <f>TOWER!N148</f>
        <v>169818</v>
      </c>
      <c r="E16" s="421">
        <f>TOWER!S148</f>
        <v>146609</v>
      </c>
      <c r="F16" s="433">
        <f>TOWER!X148</f>
        <v>8202</v>
      </c>
      <c r="G16" s="135">
        <f>TOWER!AC148</f>
        <v>0</v>
      </c>
      <c r="H16" s="135">
        <f>TOWER!AH148</f>
        <v>0</v>
      </c>
      <c r="I16" s="135">
        <f>TOWER!AM148</f>
        <v>0</v>
      </c>
      <c r="J16" s="135">
        <f>TOWER!AR148</f>
        <v>0</v>
      </c>
      <c r="K16" s="135">
        <f>TOWER!AW148</f>
        <v>0</v>
      </c>
      <c r="M16" s="276" t="s">
        <v>150</v>
      </c>
      <c r="N16" s="440">
        <f>N6/N8</f>
        <v>0.5841666474740872</v>
      </c>
      <c r="P16" s="534"/>
      <c r="Q16" s="99">
        <v>6.5</v>
      </c>
      <c r="R16" s="84">
        <f t="shared" si="2"/>
        <v>0.49192812314283385</v>
      </c>
      <c r="S16" s="84">
        <f t="shared" si="2"/>
        <v>0.48582746127121679</v>
      </c>
      <c r="T16" s="84">
        <f t="shared" si="2"/>
        <v>0.47977878446942812</v>
      </c>
      <c r="U16" s="84">
        <f t="shared" si="2"/>
        <v>0.47378144382334431</v>
      </c>
      <c r="V16" s="83">
        <f t="shared" si="2"/>
        <v>0.46783480067101868</v>
      </c>
    </row>
    <row r="17" spans="1:22">
      <c r="B17" s="108"/>
      <c r="C17" s="90" t="s">
        <v>58</v>
      </c>
      <c r="D17" s="420">
        <f>TOWER!N149</f>
        <v>-48321</v>
      </c>
      <c r="E17" s="421">
        <f>TOWER!S149</f>
        <v>-102460</v>
      </c>
      <c r="F17" s="433">
        <f>TOWER!X149</f>
        <v>489594.37128484808</v>
      </c>
      <c r="G17" s="433">
        <f>TOWER!AC149</f>
        <v>112432.05709278211</v>
      </c>
      <c r="H17" s="433">
        <f>TOWER!AH149</f>
        <v>489587.98692598008</v>
      </c>
      <c r="I17" s="433">
        <f>TOWER!AM149</f>
        <v>420444.37390433159</v>
      </c>
      <c r="J17" s="433">
        <f>TOWER!AR149</f>
        <v>387770.72618173528</v>
      </c>
      <c r="K17" s="433">
        <f>TOWER!AW149</f>
        <v>483795.6417895006</v>
      </c>
      <c r="M17" s="278" t="s">
        <v>174</v>
      </c>
      <c r="N17" s="441">
        <f>($D$46-$K$24/N5)/($K$24/N5+1)</f>
        <v>-7.1304888914029876E-2</v>
      </c>
      <c r="P17" s="535"/>
      <c r="Q17" s="98">
        <v>7</v>
      </c>
      <c r="R17" s="82">
        <f t="shared" si="2"/>
        <v>0.56839377272034275</v>
      </c>
      <c r="S17" s="82">
        <f t="shared" si="2"/>
        <v>0.56211445278896499</v>
      </c>
      <c r="T17" s="82">
        <f t="shared" si="2"/>
        <v>0.55588795083212306</v>
      </c>
      <c r="U17" s="82">
        <f t="shared" si="2"/>
        <v>0.54971361212473102</v>
      </c>
      <c r="V17" s="81">
        <f t="shared" si="2"/>
        <v>0.54359079224780804</v>
      </c>
    </row>
    <row r="18" spans="1:22">
      <c r="B18" s="108"/>
      <c r="C18" s="90" t="s">
        <v>59</v>
      </c>
      <c r="D18" s="420">
        <f>TOWER!N150</f>
        <v>14470</v>
      </c>
      <c r="E18" s="421">
        <f>TOWER!S150</f>
        <v>-2087</v>
      </c>
      <c r="F18" s="433">
        <f>TOWER!X150</f>
        <v>42152</v>
      </c>
      <c r="G18" s="135">
        <f>TOWER!AC150</f>
        <v>0</v>
      </c>
      <c r="H18" s="135">
        <f>TOWER!AH150</f>
        <v>0</v>
      </c>
      <c r="I18" s="135">
        <f>TOWER!AM150</f>
        <v>0</v>
      </c>
      <c r="J18" s="135">
        <f>TOWER!AR150</f>
        <v>0</v>
      </c>
      <c r="K18" s="135">
        <f>TOWER!AW150</f>
        <v>0</v>
      </c>
      <c r="P18" s="115"/>
      <c r="Q18" s="114"/>
    </row>
    <row r="19" spans="1:22">
      <c r="A19" s="113"/>
      <c r="B19" s="112"/>
      <c r="C19" s="90" t="s">
        <v>60</v>
      </c>
      <c r="D19" s="420">
        <f>TOWER!N151</f>
        <v>-42962</v>
      </c>
      <c r="E19" s="421">
        <f>TOWER!S151</f>
        <v>-173287</v>
      </c>
      <c r="F19" s="433">
        <f>TOWER!X151</f>
        <v>-198991</v>
      </c>
      <c r="G19" s="135">
        <f>TOWER!AC151</f>
        <v>0</v>
      </c>
      <c r="H19" s="135">
        <f>TOWER!AH151</f>
        <v>0</v>
      </c>
      <c r="I19" s="135">
        <f>TOWER!AM151</f>
        <v>0</v>
      </c>
      <c r="J19" s="135">
        <f>TOWER!AR151</f>
        <v>0</v>
      </c>
      <c r="K19" s="135">
        <f>TOWER!AW151</f>
        <v>0</v>
      </c>
      <c r="M19" s="538" t="s">
        <v>183</v>
      </c>
      <c r="N19" s="540"/>
      <c r="P19" s="536" t="s">
        <v>152</v>
      </c>
      <c r="Q19" s="89"/>
      <c r="R19" s="532" t="s">
        <v>154</v>
      </c>
      <c r="S19" s="532"/>
      <c r="T19" s="532"/>
      <c r="U19" s="532"/>
      <c r="V19" s="533"/>
    </row>
    <row r="20" spans="1:22">
      <c r="A20" s="111"/>
      <c r="B20" s="110"/>
      <c r="C20" s="90"/>
      <c r="D20" s="131"/>
      <c r="E20" s="132"/>
      <c r="F20" s="135"/>
      <c r="G20" s="135"/>
      <c r="H20" s="135"/>
      <c r="I20" s="135"/>
      <c r="J20" s="135"/>
      <c r="K20" s="135"/>
      <c r="M20" s="276" t="s">
        <v>148</v>
      </c>
      <c r="N20" s="457">
        <v>6</v>
      </c>
      <c r="P20" s="537"/>
      <c r="Q20" s="88">
        <f>$N$30</f>
        <v>26.752863878498307</v>
      </c>
      <c r="R20" s="85">
        <f>S20-0.25%</f>
        <v>6.7499999999999991E-2</v>
      </c>
      <c r="S20" s="85">
        <f>T20-0.25%</f>
        <v>6.9999999999999993E-2</v>
      </c>
      <c r="T20" s="85">
        <v>7.2499999999999995E-2</v>
      </c>
      <c r="U20" s="85">
        <f>T20+0.25%</f>
        <v>7.4999999999999997E-2</v>
      </c>
      <c r="V20" s="87">
        <f>U20+0.25%</f>
        <v>7.7499999999999999E-2</v>
      </c>
    </row>
    <row r="21" spans="1:22">
      <c r="A21" s="109"/>
      <c r="B21" s="108"/>
      <c r="C21" s="90"/>
      <c r="D21" s="131"/>
      <c r="E21" s="132"/>
      <c r="F21" s="135"/>
      <c r="G21" s="135"/>
      <c r="H21" s="135"/>
      <c r="I21" s="135"/>
      <c r="J21" s="135"/>
      <c r="K21" s="135"/>
      <c r="M21" s="276"/>
      <c r="N21" s="283"/>
      <c r="P21" s="546" t="s">
        <v>177</v>
      </c>
      <c r="Q21" s="99">
        <v>5</v>
      </c>
      <c r="R21" s="91">
        <f t="dataTable" ref="R21:V25" dt2D="1" dtr="1" r1="D46" r2="N20"/>
        <v>23.967886797495119</v>
      </c>
      <c r="S21" s="91">
        <v>23.864872085960766</v>
      </c>
      <c r="T21" s="91">
        <v>23.762760946220073</v>
      </c>
      <c r="U21" s="91">
        <v>23.661541927911721</v>
      </c>
      <c r="V21" s="96">
        <v>23.561203762993532</v>
      </c>
    </row>
    <row r="22" spans="1:22" ht="17" thickBot="1">
      <c r="B22" s="108"/>
      <c r="C22" s="90"/>
      <c r="D22" s="131"/>
      <c r="E22" s="132"/>
      <c r="F22" s="135"/>
      <c r="G22" s="135"/>
      <c r="H22" s="135"/>
      <c r="I22" s="135"/>
      <c r="J22" s="135"/>
      <c r="K22" s="135"/>
      <c r="M22" s="276" t="s">
        <v>167</v>
      </c>
      <c r="N22" s="452">
        <f>N20*SUM(F24,G24/2)</f>
        <v>10310660.046391152</v>
      </c>
      <c r="P22" s="546"/>
      <c r="Q22" s="99">
        <v>5.5</v>
      </c>
      <c r="R22" s="91">
        <v>25.469496805058505</v>
      </c>
      <c r="S22" s="91">
        <v>25.362973658927036</v>
      </c>
      <c r="T22" s="91">
        <v>25.25737044092768</v>
      </c>
      <c r="U22" s="91">
        <v>25.152675586585126</v>
      </c>
      <c r="V22" s="96">
        <v>25.04887771480227</v>
      </c>
    </row>
    <row r="23" spans="1:22" ht="17" thickBot="1">
      <c r="B23" s="107"/>
      <c r="C23" s="106"/>
      <c r="D23" s="129"/>
      <c r="E23" s="130"/>
      <c r="F23" s="134"/>
      <c r="G23" s="134"/>
      <c r="H23" s="134"/>
      <c r="I23" s="134"/>
      <c r="J23" s="134"/>
      <c r="K23" s="134"/>
      <c r="M23" s="276" t="s">
        <v>165</v>
      </c>
      <c r="N23" s="458">
        <f>N22/(1+$D$46)</f>
        <v>9613851.3865040243</v>
      </c>
      <c r="P23" s="546"/>
      <c r="Q23" s="99">
        <v>6</v>
      </c>
      <c r="R23" s="91">
        <v>26.971106812621894</v>
      </c>
      <c r="S23" s="91">
        <v>26.861075231893317</v>
      </c>
      <c r="T23" s="97">
        <v>26.751979935635294</v>
      </c>
      <c r="U23" s="91">
        <v>26.643809245258534</v>
      </c>
      <c r="V23" s="96">
        <v>26.536551666611008</v>
      </c>
    </row>
    <row r="24" spans="1:22" ht="17" thickBot="1">
      <c r="B24" s="105" t="s">
        <v>182</v>
      </c>
      <c r="C24" s="104"/>
      <c r="D24" s="434">
        <f>D9+D10-D11-D12-D13</f>
        <v>661939</v>
      </c>
      <c r="E24" s="435">
        <f t="shared" ref="E24:K24" si="3">E9+E10-E11-E12-E13</f>
        <v>155757</v>
      </c>
      <c r="F24" s="436">
        <f t="shared" si="3"/>
        <v>1197791.3735119978</v>
      </c>
      <c r="G24" s="436">
        <f t="shared" si="3"/>
        <v>1041303.9351063883</v>
      </c>
      <c r="H24" s="436">
        <f t="shared" si="3"/>
        <v>1134351.8076588055</v>
      </c>
      <c r="I24" s="436">
        <f t="shared" si="3"/>
        <v>1305413.6655623659</v>
      </c>
      <c r="J24" s="436">
        <f t="shared" si="3"/>
        <v>1353637.1130356139</v>
      </c>
      <c r="K24" s="436">
        <f t="shared" si="3"/>
        <v>1461586.2115279702</v>
      </c>
      <c r="M24" s="278" t="s">
        <v>163</v>
      </c>
      <c r="N24" s="459">
        <f>SUM($F$25:$K$25)</f>
        <v>6265833.9567847578</v>
      </c>
      <c r="P24" s="546"/>
      <c r="Q24" s="99">
        <v>6.5</v>
      </c>
      <c r="R24" s="91">
        <v>28.472716820185276</v>
      </c>
      <c r="S24" s="91">
        <v>28.359176804859587</v>
      </c>
      <c r="T24" s="91">
        <v>28.246589430342905</v>
      </c>
      <c r="U24" s="91">
        <v>28.13494290393194</v>
      </c>
      <c r="V24" s="96">
        <v>28.024225618419745</v>
      </c>
    </row>
    <row r="25" spans="1:22" ht="17" thickTop="1">
      <c r="B25" s="103" t="s">
        <v>181</v>
      </c>
      <c r="C25" s="102"/>
      <c r="D25" s="101"/>
      <c r="E25" s="101"/>
      <c r="F25" s="437">
        <f t="shared" ref="F25:K25" si="4">F24/(1+$D$46)^F5</f>
        <v>1197791.3735119978</v>
      </c>
      <c r="G25" s="437">
        <f t="shared" si="4"/>
        <v>970931.17562329001</v>
      </c>
      <c r="H25" s="437">
        <f t="shared" si="4"/>
        <v>986210.54161145084</v>
      </c>
      <c r="I25" s="437">
        <f t="shared" si="4"/>
        <v>1058029.3284100976</v>
      </c>
      <c r="J25" s="437">
        <f t="shared" si="4"/>
        <v>1022969.6315575452</v>
      </c>
      <c r="K25" s="437">
        <f t="shared" si="4"/>
        <v>1029901.9060703764</v>
      </c>
      <c r="M25" s="276" t="s">
        <v>161</v>
      </c>
      <c r="N25" s="460">
        <f>N23+N24</f>
        <v>15879685.343288783</v>
      </c>
      <c r="P25" s="547"/>
      <c r="Q25" s="98">
        <v>7</v>
      </c>
      <c r="R25" s="94">
        <v>29.974326827748659</v>
      </c>
      <c r="S25" s="94">
        <v>29.85727837782586</v>
      </c>
      <c r="T25" s="94">
        <v>29.741198925050515</v>
      </c>
      <c r="U25" s="94">
        <v>29.626076562605348</v>
      </c>
      <c r="V25" s="93">
        <v>29.511899570228479</v>
      </c>
    </row>
    <row r="26" spans="1:22">
      <c r="B26" s="100"/>
      <c r="C26" s="100"/>
      <c r="F26" s="136"/>
      <c r="G26" s="136"/>
      <c r="H26" s="136"/>
      <c r="I26" s="136"/>
      <c r="J26" s="136"/>
      <c r="K26" s="136"/>
      <c r="M26" s="276" t="s">
        <v>160</v>
      </c>
      <c r="N26" s="455">
        <f>$D$32</f>
        <v>2909144</v>
      </c>
      <c r="P26" s="92"/>
      <c r="Q26" s="99"/>
      <c r="R26" s="91"/>
      <c r="S26" s="91"/>
      <c r="T26" s="91"/>
      <c r="U26" s="91"/>
      <c r="V26" s="91"/>
    </row>
    <row r="27" spans="1:22">
      <c r="B27" s="538" t="s">
        <v>180</v>
      </c>
      <c r="C27" s="539"/>
      <c r="D27" s="540"/>
      <c r="M27" s="278" t="s">
        <v>158</v>
      </c>
      <c r="N27" s="454">
        <f>$D$33</f>
        <v>1369502</v>
      </c>
    </row>
    <row r="28" spans="1:22">
      <c r="B28" s="276" t="s">
        <v>179</v>
      </c>
      <c r="C28" s="277"/>
      <c r="D28" s="449">
        <v>17.98</v>
      </c>
      <c r="M28" s="276" t="s">
        <v>156</v>
      </c>
      <c r="N28" s="460">
        <f>N25-N26+N27</f>
        <v>14340043.343288783</v>
      </c>
      <c r="P28" s="536" t="s">
        <v>155</v>
      </c>
      <c r="Q28" s="89"/>
      <c r="R28" s="532" t="s">
        <v>154</v>
      </c>
      <c r="S28" s="532"/>
      <c r="T28" s="532"/>
      <c r="U28" s="532"/>
      <c r="V28" s="533"/>
    </row>
    <row r="29" spans="1:22">
      <c r="B29" s="278" t="s">
        <v>153</v>
      </c>
      <c r="C29" s="279"/>
      <c r="D29" s="438">
        <f>TOWER!V24</f>
        <v>536019</v>
      </c>
      <c r="M29" s="282" t="s">
        <v>153</v>
      </c>
      <c r="N29" s="453">
        <f>$D$29</f>
        <v>536019</v>
      </c>
      <c r="P29" s="537"/>
      <c r="Q29" s="88"/>
      <c r="R29" s="85">
        <f>S29-0.25%</f>
        <v>6.7499999999999991E-2</v>
      </c>
      <c r="S29" s="85">
        <f>T29-0.25%</f>
        <v>6.9999999999999993E-2</v>
      </c>
      <c r="T29" s="85">
        <v>7.2499999999999995E-2</v>
      </c>
      <c r="U29" s="85">
        <f>T29+0.25%</f>
        <v>7.4999999999999997E-2</v>
      </c>
      <c r="V29" s="87">
        <f>U29+0.25%</f>
        <v>7.7499999999999999E-2</v>
      </c>
    </row>
    <row r="30" spans="1:22">
      <c r="B30" s="276" t="s">
        <v>178</v>
      </c>
      <c r="C30" s="277"/>
      <c r="D30" s="450">
        <f>D29*D28</f>
        <v>9637621.620000001</v>
      </c>
      <c r="M30" s="276" t="s">
        <v>152</v>
      </c>
      <c r="N30" s="461">
        <f>N28/N29</f>
        <v>26.752863878498307</v>
      </c>
      <c r="P30" s="546" t="s">
        <v>177</v>
      </c>
      <c r="Q30" s="99">
        <v>5</v>
      </c>
      <c r="R30" s="84">
        <f t="shared" ref="R30:V34" si="5">R21/$D$28-1</f>
        <v>0.33303041142909451</v>
      </c>
      <c r="S30" s="84">
        <f t="shared" si="5"/>
        <v>0.32730100589325728</v>
      </c>
      <c r="T30" s="84">
        <f t="shared" si="5"/>
        <v>0.32162185462848014</v>
      </c>
      <c r="U30" s="84">
        <f t="shared" si="5"/>
        <v>0.31599232079598005</v>
      </c>
      <c r="V30" s="83">
        <f t="shared" si="5"/>
        <v>0.31041177769708184</v>
      </c>
    </row>
    <row r="31" spans="1:22" ht="17" thickBot="1">
      <c r="B31" s="276"/>
      <c r="C31" s="277"/>
      <c r="D31" s="280"/>
      <c r="G31" s="212"/>
      <c r="M31" s="276" t="s">
        <v>151</v>
      </c>
      <c r="N31" s="462">
        <f>N30/$D$28-1</f>
        <v>0.48792346376520057</v>
      </c>
      <c r="P31" s="546"/>
      <c r="Q31" s="99">
        <v>5.5</v>
      </c>
      <c r="R31" s="84">
        <f t="shared" si="5"/>
        <v>0.41654598470848181</v>
      </c>
      <c r="S31" s="84">
        <f t="shared" si="5"/>
        <v>0.41062144932853362</v>
      </c>
      <c r="T31" s="84">
        <f t="shared" si="5"/>
        <v>0.40474807791588874</v>
      </c>
      <c r="U31" s="84">
        <f t="shared" si="5"/>
        <v>0.39892522728504587</v>
      </c>
      <c r="V31" s="83">
        <f t="shared" si="5"/>
        <v>0.39315226444951445</v>
      </c>
    </row>
    <row r="32" spans="1:22" ht="17" thickBot="1">
      <c r="B32" s="276" t="s">
        <v>176</v>
      </c>
      <c r="C32" s="277"/>
      <c r="D32" s="439">
        <f>TOWER!W118</f>
        <v>2909144</v>
      </c>
      <c r="F32" s="137"/>
      <c r="G32" s="212"/>
      <c r="M32" s="276"/>
      <c r="N32" s="281"/>
      <c r="P32" s="546"/>
      <c r="Q32" s="99">
        <v>6</v>
      </c>
      <c r="R32" s="84">
        <f t="shared" si="5"/>
        <v>0.50006155798786955</v>
      </c>
      <c r="S32" s="84">
        <f t="shared" si="5"/>
        <v>0.49394189276381062</v>
      </c>
      <c r="T32" s="86">
        <f t="shared" si="5"/>
        <v>0.48787430120329778</v>
      </c>
      <c r="U32" s="84">
        <f t="shared" si="5"/>
        <v>0.48185813377411191</v>
      </c>
      <c r="V32" s="83">
        <f t="shared" si="5"/>
        <v>0.47589275120194707</v>
      </c>
    </row>
    <row r="33" spans="2:22">
      <c r="B33" s="276" t="s">
        <v>175</v>
      </c>
      <c r="C33" s="277"/>
      <c r="D33" s="439">
        <f>TOWER!V100</f>
        <v>1369502</v>
      </c>
      <c r="F33" s="138"/>
      <c r="M33" s="276" t="s">
        <v>150</v>
      </c>
      <c r="N33" s="440">
        <f>N23/N25</f>
        <v>0.60541825474943167</v>
      </c>
      <c r="P33" s="546"/>
      <c r="Q33" s="99">
        <v>6.5</v>
      </c>
      <c r="R33" s="84">
        <f t="shared" si="5"/>
        <v>0.58357713126725663</v>
      </c>
      <c r="S33" s="84">
        <f t="shared" si="5"/>
        <v>0.57726233619908718</v>
      </c>
      <c r="T33" s="84">
        <f t="shared" si="5"/>
        <v>0.5710005244907066</v>
      </c>
      <c r="U33" s="84">
        <f t="shared" si="5"/>
        <v>0.56479104026317795</v>
      </c>
      <c r="V33" s="83">
        <f t="shared" si="5"/>
        <v>0.55863323795437947</v>
      </c>
    </row>
    <row r="34" spans="2:22">
      <c r="B34" s="276" t="s">
        <v>333</v>
      </c>
      <c r="C34" s="277"/>
      <c r="D34" s="448">
        <v>0.125</v>
      </c>
      <c r="F34" s="138"/>
      <c r="M34" s="278" t="s">
        <v>174</v>
      </c>
      <c r="N34" s="441">
        <f>($D$46-$K$24/N22)/($K$24/N22+1)</f>
        <v>-6.0674325246027137E-2</v>
      </c>
      <c r="P34" s="547"/>
      <c r="Q34" s="98">
        <v>7</v>
      </c>
      <c r="R34" s="82">
        <f t="shared" si="5"/>
        <v>0.66709270454664393</v>
      </c>
      <c r="S34" s="82">
        <f t="shared" si="5"/>
        <v>0.66058277963436374</v>
      </c>
      <c r="T34" s="82">
        <f t="shared" si="5"/>
        <v>0.65412674777811541</v>
      </c>
      <c r="U34" s="82">
        <f t="shared" si="5"/>
        <v>0.64772394675224398</v>
      </c>
      <c r="V34" s="81">
        <f t="shared" si="5"/>
        <v>0.64137372470681187</v>
      </c>
    </row>
    <row r="35" spans="2:22">
      <c r="B35" s="278" t="s">
        <v>173</v>
      </c>
      <c r="C35" s="279"/>
      <c r="D35" s="451">
        <f>SUM(TOWER!W50,TOWER!Y50:AA50)</f>
        <v>1573381.8397810813</v>
      </c>
      <c r="F35" s="138"/>
    </row>
    <row r="36" spans="2:22">
      <c r="F36" s="138"/>
      <c r="M36" s="538" t="s">
        <v>172</v>
      </c>
      <c r="N36" s="540"/>
      <c r="P36" s="536" t="s">
        <v>152</v>
      </c>
      <c r="Q36" s="89"/>
      <c r="R36" s="532" t="s">
        <v>154</v>
      </c>
      <c r="S36" s="532"/>
      <c r="T36" s="532"/>
      <c r="U36" s="532"/>
      <c r="V36" s="533"/>
    </row>
    <row r="37" spans="2:22">
      <c r="B37" s="538" t="s">
        <v>171</v>
      </c>
      <c r="C37" s="539"/>
      <c r="D37" s="540"/>
      <c r="F37" s="138"/>
      <c r="M37" s="276" t="s">
        <v>169</v>
      </c>
      <c r="N37" s="456">
        <v>0.02</v>
      </c>
      <c r="P37" s="537"/>
      <c r="Q37" s="88">
        <f>$N$47</f>
        <v>58.23284307616337</v>
      </c>
      <c r="R37" s="85">
        <f>S37-0.25%</f>
        <v>6.7499999999999991E-2</v>
      </c>
      <c r="S37" s="85">
        <f>T37-0.25%</f>
        <v>6.9999999999999993E-2</v>
      </c>
      <c r="T37" s="85">
        <v>7.2499999999999995E-2</v>
      </c>
      <c r="U37" s="85">
        <f>T37+0.25%</f>
        <v>7.4999999999999997E-2</v>
      </c>
      <c r="V37" s="87">
        <f>U37+0.25%</f>
        <v>7.7499999999999999E-2</v>
      </c>
    </row>
    <row r="38" spans="2:22">
      <c r="B38" s="276" t="s">
        <v>170</v>
      </c>
      <c r="C38" s="277"/>
      <c r="D38" s="445">
        <v>2.5000000000000001E-2</v>
      </c>
      <c r="F38" s="138"/>
      <c r="M38" s="276"/>
      <c r="N38" s="283"/>
      <c r="P38" s="534" t="s">
        <v>169</v>
      </c>
      <c r="Q38" s="85">
        <v>0.01</v>
      </c>
      <c r="R38" s="91">
        <f t="dataTable" ref="R38:V42" dt2D="1" dtr="1" r1="D46" r2="N37" ca="1"/>
        <v>53.819082888604683</v>
      </c>
      <c r="S38" s="91">
        <v>51.781219640331024</v>
      </c>
      <c r="T38" s="91">
        <v>49.902140652159062</v>
      </c>
      <c r="U38" s="91">
        <v>48.163596723430501</v>
      </c>
      <c r="V38" s="96">
        <v>46.550040910162416</v>
      </c>
    </row>
    <row r="39" spans="2:22" ht="17" thickBot="1">
      <c r="B39" s="276" t="s">
        <v>168</v>
      </c>
      <c r="C39" s="277"/>
      <c r="D39" s="446">
        <v>0.9</v>
      </c>
      <c r="M39" s="276" t="s">
        <v>167</v>
      </c>
      <c r="N39" s="452">
        <f>K24*(1+N37)/($D$46-N37)</f>
        <v>28407539.121860001</v>
      </c>
      <c r="P39" s="534"/>
      <c r="Q39" s="85">
        <v>1.4999999999999999E-2</v>
      </c>
      <c r="R39" s="91">
        <v>58.335427882286766</v>
      </c>
      <c r="S39" s="91">
        <v>55.912648867506107</v>
      </c>
      <c r="T39" s="91">
        <v>53.695870446852005</v>
      </c>
      <c r="U39" s="91">
        <v>51.659421454117116</v>
      </c>
      <c r="V39" s="96">
        <v>49.781736661197151</v>
      </c>
    </row>
    <row r="40" spans="2:22" ht="17" thickBot="1">
      <c r="B40" s="278" t="s">
        <v>166</v>
      </c>
      <c r="C40" s="279"/>
      <c r="D40" s="447">
        <v>0.09</v>
      </c>
      <c r="M40" s="276" t="s">
        <v>165</v>
      </c>
      <c r="N40" s="458">
        <f>N39/(1+$D$46)</f>
        <v>26487718.356057256</v>
      </c>
      <c r="P40" s="534"/>
      <c r="Q40" s="85">
        <v>0.02</v>
      </c>
      <c r="R40" s="91">
        <v>63.802582348322993</v>
      </c>
      <c r="S40" s="91">
        <v>60.870363940116228</v>
      </c>
      <c r="T40" s="97">
        <v>58.212215440534109</v>
      </c>
      <c r="U40" s="91">
        <v>55.79085068129222</v>
      </c>
      <c r="V40" s="96">
        <v>53.575466455890123</v>
      </c>
    </row>
    <row r="41" spans="2:22">
      <c r="B41" s="276" t="s">
        <v>164</v>
      </c>
      <c r="C41" s="277"/>
      <c r="D41" s="443">
        <f>D38+D39*(D40-D38)</f>
        <v>8.3500000000000005E-2</v>
      </c>
      <c r="M41" s="278" t="s">
        <v>163</v>
      </c>
      <c r="N41" s="459">
        <f>SUM($F$25:$K$25)</f>
        <v>6265833.9567847578</v>
      </c>
      <c r="P41" s="534"/>
      <c r="Q41" s="85">
        <v>2.5000000000000001E-2</v>
      </c>
      <c r="R41" s="91">
        <v>70.556126100485372</v>
      </c>
      <c r="S41" s="91">
        <v>66.929793473306376</v>
      </c>
      <c r="T41" s="91">
        <v>63.679369906570329</v>
      </c>
      <c r="U41" s="91">
        <v>60.748565753902319</v>
      </c>
      <c r="V41" s="96">
        <v>58.091811449572205</v>
      </c>
    </row>
    <row r="42" spans="2:22">
      <c r="B42" s="276" t="s">
        <v>162</v>
      </c>
      <c r="C42" s="277"/>
      <c r="D42" s="444">
        <f>TOWER!X53/TOWER!X118</f>
        <v>4.110934350448104E-2</v>
      </c>
      <c r="M42" s="276" t="s">
        <v>161</v>
      </c>
      <c r="N42" s="460">
        <f>N40+N41</f>
        <v>32753552.312842015</v>
      </c>
      <c r="P42" s="535"/>
      <c r="Q42" s="85">
        <v>0.03</v>
      </c>
      <c r="R42" s="94">
        <v>79.110614853224405</v>
      </c>
      <c r="S42" s="94">
        <v>74.504080389794041</v>
      </c>
      <c r="T42" s="94">
        <v>70.432913658732716</v>
      </c>
      <c r="U42" s="94">
        <v>66.807995287092453</v>
      </c>
      <c r="V42" s="93">
        <v>63.558965915608411</v>
      </c>
    </row>
    <row r="43" spans="2:22">
      <c r="B43" s="276"/>
      <c r="C43" s="277"/>
      <c r="D43" s="281"/>
      <c r="M43" s="276" t="s">
        <v>160</v>
      </c>
      <c r="N43" s="455">
        <f>$D$32</f>
        <v>2909144</v>
      </c>
      <c r="P43" s="92"/>
      <c r="Q43" s="85"/>
      <c r="R43" s="91"/>
      <c r="S43" s="91"/>
      <c r="T43" s="91"/>
      <c r="U43" s="91"/>
      <c r="V43" s="91"/>
    </row>
    <row r="44" spans="2:22">
      <c r="B44" s="276" t="s">
        <v>159</v>
      </c>
      <c r="C44" s="277"/>
      <c r="D44" s="440">
        <f>D30/($D$30+$D$32)</f>
        <v>0.76813594131680296</v>
      </c>
      <c r="M44" s="278" t="s">
        <v>158</v>
      </c>
      <c r="N44" s="454">
        <f>$D$33</f>
        <v>1369502</v>
      </c>
    </row>
    <row r="45" spans="2:22">
      <c r="B45" s="278" t="s">
        <v>157</v>
      </c>
      <c r="C45" s="279"/>
      <c r="D45" s="441">
        <f>D32/($D$30+$D$32)</f>
        <v>0.23186405868319709</v>
      </c>
      <c r="M45" s="276" t="s">
        <v>156</v>
      </c>
      <c r="N45" s="460">
        <f>N42-N43+N44</f>
        <v>31213910.312842015</v>
      </c>
      <c r="P45" s="536" t="s">
        <v>155</v>
      </c>
      <c r="Q45" s="89"/>
      <c r="R45" s="532" t="s">
        <v>154</v>
      </c>
      <c r="S45" s="532"/>
      <c r="T45" s="532"/>
      <c r="U45" s="532"/>
      <c r="V45" s="533"/>
    </row>
    <row r="46" spans="2:22">
      <c r="B46" s="278" t="s">
        <v>154</v>
      </c>
      <c r="C46" s="279"/>
      <c r="D46" s="442">
        <f>D44*D41+D45*D42*(1-D34)</f>
        <v>7.2479657930359917E-2</v>
      </c>
      <c r="M46" s="282" t="s">
        <v>153</v>
      </c>
      <c r="N46" s="453">
        <f>$D$29</f>
        <v>536019</v>
      </c>
      <c r="P46" s="537"/>
      <c r="Q46" s="88"/>
      <c r="R46" s="85">
        <f>S46-0.25%</f>
        <v>6.7499999999999991E-2</v>
      </c>
      <c r="S46" s="85">
        <f>T46-0.25%</f>
        <v>6.9999999999999993E-2</v>
      </c>
      <c r="T46" s="85">
        <v>7.2499999999999995E-2</v>
      </c>
      <c r="U46" s="85">
        <f>T46+0.25%</f>
        <v>7.4999999999999997E-2</v>
      </c>
      <c r="V46" s="87">
        <f>U46+0.25%</f>
        <v>7.7499999999999999E-2</v>
      </c>
    </row>
    <row r="47" spans="2:22">
      <c r="M47" s="276" t="s">
        <v>152</v>
      </c>
      <c r="N47" s="461">
        <f>N45/N46</f>
        <v>58.23284307616337</v>
      </c>
      <c r="P47" s="534" t="s">
        <v>149</v>
      </c>
      <c r="Q47" s="85">
        <v>0.01</v>
      </c>
      <c r="R47" s="84">
        <f t="shared" ref="R47:V51" si="6">R38/$D$28-1</f>
        <v>1.9932749103784584</v>
      </c>
      <c r="S47" s="84">
        <f t="shared" si="6"/>
        <v>1.8799343515200793</v>
      </c>
      <c r="T47" s="84">
        <f t="shared" si="6"/>
        <v>1.7754249528453316</v>
      </c>
      <c r="U47" s="84">
        <f t="shared" si="6"/>
        <v>1.6787317421262791</v>
      </c>
      <c r="V47" s="83">
        <f t="shared" si="6"/>
        <v>1.5889900394973533</v>
      </c>
    </row>
    <row r="48" spans="2:22" ht="17" thickBot="1">
      <c r="M48" s="276" t="s">
        <v>151</v>
      </c>
      <c r="N48" s="462">
        <f>N47/$D$28-1</f>
        <v>2.2387565670836134</v>
      </c>
      <c r="P48" s="534"/>
      <c r="Q48" s="85">
        <v>1.4999999999999999E-2</v>
      </c>
      <c r="R48" s="84">
        <f t="shared" si="6"/>
        <v>2.2444620624186187</v>
      </c>
      <c r="S48" s="84">
        <f t="shared" si="6"/>
        <v>2.1097135076477254</v>
      </c>
      <c r="T48" s="84">
        <f t="shared" si="6"/>
        <v>1.9864221605590657</v>
      </c>
      <c r="U48" s="84">
        <f t="shared" si="6"/>
        <v>1.8731602588496727</v>
      </c>
      <c r="V48" s="83">
        <f t="shared" si="6"/>
        <v>1.7687284016238682</v>
      </c>
    </row>
    <row r="49" spans="13:22" ht="17" thickBot="1">
      <c r="M49" s="276"/>
      <c r="N49" s="281"/>
      <c r="P49" s="534"/>
      <c r="Q49" s="85">
        <v>0.02</v>
      </c>
      <c r="R49" s="84">
        <f t="shared" si="6"/>
        <v>2.5485307201514455</v>
      </c>
      <c r="S49" s="84">
        <f t="shared" si="6"/>
        <v>2.3854484950009023</v>
      </c>
      <c r="T49" s="86">
        <f t="shared" si="6"/>
        <v>2.2376093125992274</v>
      </c>
      <c r="U49" s="84">
        <f t="shared" si="6"/>
        <v>2.1029394149773202</v>
      </c>
      <c r="V49" s="83">
        <f t="shared" si="6"/>
        <v>1.9797256093376041</v>
      </c>
    </row>
    <row r="50" spans="13:22">
      <c r="M50" s="276" t="s">
        <v>150</v>
      </c>
      <c r="N50" s="440">
        <f>N40/N42</f>
        <v>0.80869757585567137</v>
      </c>
      <c r="P50" s="534"/>
      <c r="Q50" s="85">
        <v>2.5000000000000001E-2</v>
      </c>
      <c r="R50" s="84">
        <f t="shared" si="6"/>
        <v>2.9241449444096426</v>
      </c>
      <c r="S50" s="84">
        <f t="shared" si="6"/>
        <v>2.7224579239881188</v>
      </c>
      <c r="T50" s="84">
        <f t="shared" si="6"/>
        <v>2.5416779703320538</v>
      </c>
      <c r="U50" s="84">
        <f t="shared" si="6"/>
        <v>2.3786744023304962</v>
      </c>
      <c r="V50" s="83">
        <f t="shared" si="6"/>
        <v>2.2309127613777644</v>
      </c>
    </row>
    <row r="51" spans="13:22">
      <c r="M51" s="276" t="s">
        <v>149</v>
      </c>
      <c r="N51" s="463">
        <f>N39/D35</f>
        <v>18.05508262750293</v>
      </c>
      <c r="P51" s="535"/>
      <c r="Q51" s="85">
        <v>0.03</v>
      </c>
      <c r="R51" s="82">
        <f t="shared" si="6"/>
        <v>3.3999229618033597</v>
      </c>
      <c r="S51" s="82">
        <f t="shared" si="6"/>
        <v>3.1437197102221379</v>
      </c>
      <c r="T51" s="82">
        <f t="shared" si="6"/>
        <v>2.9172921945902512</v>
      </c>
      <c r="U51" s="82">
        <f t="shared" si="6"/>
        <v>2.7156838313177114</v>
      </c>
      <c r="V51" s="81">
        <f t="shared" si="6"/>
        <v>2.5349814191105899</v>
      </c>
    </row>
    <row r="52" spans="13:22">
      <c r="M52" s="278" t="s">
        <v>148</v>
      </c>
      <c r="N52" s="464">
        <f>N39/SUM(F24,G24/2)</f>
        <v>16.530972213638037</v>
      </c>
    </row>
  </sheetData>
  <mergeCells count="25">
    <mergeCell ref="P45:P46"/>
    <mergeCell ref="R45:V45"/>
    <mergeCell ref="P47:P51"/>
    <mergeCell ref="P11:P12"/>
    <mergeCell ref="R11:V11"/>
    <mergeCell ref="P13:P17"/>
    <mergeCell ref="P36:P37"/>
    <mergeCell ref="R36:V36"/>
    <mergeCell ref="P19:P20"/>
    <mergeCell ref="R19:V19"/>
    <mergeCell ref="R28:V28"/>
    <mergeCell ref="P30:P34"/>
    <mergeCell ref="R2:V2"/>
    <mergeCell ref="P4:P8"/>
    <mergeCell ref="P2:P3"/>
    <mergeCell ref="B27:D27"/>
    <mergeCell ref="P38:P42"/>
    <mergeCell ref="B37:D37"/>
    <mergeCell ref="B2:K2"/>
    <mergeCell ref="M2:N2"/>
    <mergeCell ref="M36:N36"/>
    <mergeCell ref="M19:N19"/>
    <mergeCell ref="F4:K4"/>
    <mergeCell ref="P21:P25"/>
    <mergeCell ref="P28:P29"/>
  </mergeCells>
  <phoneticPr fontId="74" type="noConversion"/>
  <conditionalFormatting sqref="R4:V9">
    <cfRule type="colorScale" priority="7">
      <colorScale>
        <cfvo type="num" val="22.02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22.02"/>
        <cfvo type="max"/>
        <color rgb="FFF8696B"/>
        <color rgb="FFFFEB84"/>
        <color rgb="FF63BE7B"/>
      </colorScale>
    </cfRule>
  </conditionalFormatting>
  <conditionalFormatting sqref="R13:V17">
    <cfRule type="colorScale" priority="8">
      <colorScale>
        <cfvo type="num" val="0"/>
        <cfvo type="num" val="0.25"/>
        <cfvo type="max"/>
        <color rgb="FFF8696B"/>
        <color rgb="FFFFEB84"/>
        <color rgb="FF63BE7B"/>
      </colorScale>
    </cfRule>
  </conditionalFormatting>
  <conditionalFormatting sqref="R38:V43">
    <cfRule type="colorScale" priority="4">
      <colorScale>
        <cfvo type="num" val="22.02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22.02"/>
        <cfvo type="max"/>
        <color rgb="FFF8696B"/>
        <color rgb="FFFFEB84"/>
        <color rgb="FF63BE7B"/>
      </colorScale>
    </cfRule>
  </conditionalFormatting>
  <conditionalFormatting sqref="R47:V51">
    <cfRule type="colorScale" priority="5">
      <colorScale>
        <cfvo type="num" val="0"/>
        <cfvo type="num" val="0.25"/>
        <cfvo type="max"/>
        <color rgb="FFF8696B"/>
        <color rgb="FFFFEB84"/>
        <color rgb="FF63BE7B"/>
      </colorScale>
    </cfRule>
  </conditionalFormatting>
  <conditionalFormatting sqref="R21:V26">
    <cfRule type="colorScale" priority="1">
      <colorScale>
        <cfvo type="num" val="22.02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22.02"/>
        <cfvo type="max"/>
        <color rgb="FFF8696B"/>
        <color rgb="FFFFEB84"/>
        <color rgb="FF63BE7B"/>
      </colorScale>
    </cfRule>
  </conditionalFormatting>
  <conditionalFormatting sqref="R30:V34">
    <cfRule type="colorScale" priority="2">
      <colorScale>
        <cfvo type="num" val="0"/>
        <cfvo type="num" val="0.25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9"/>
  </sheetPr>
  <dimension ref="B2:I21"/>
  <sheetViews>
    <sheetView showGridLines="0" tabSelected="1" workbookViewId="0">
      <selection activeCell="D12" sqref="D12"/>
    </sheetView>
  </sheetViews>
  <sheetFormatPr baseColWidth="10" defaultColWidth="8.83203125" defaultRowHeight="15"/>
  <cols>
    <col min="2" max="2" width="41" style="211" customWidth="1"/>
    <col min="3" max="3" width="12.1640625" style="79" customWidth="1"/>
    <col min="4" max="4" width="17" style="79" customWidth="1"/>
    <col min="5" max="5" width="12.1640625" style="79" customWidth="1"/>
    <col min="6" max="6" width="15.6640625" style="79" customWidth="1"/>
    <col min="7" max="7" width="8.83203125" style="79"/>
    <col min="8" max="8" width="18.33203125" style="79" customWidth="1"/>
    <col min="9" max="9" width="19.5" style="79" customWidth="1"/>
  </cols>
  <sheetData>
    <row r="2" spans="2:9">
      <c r="B2" s="253" t="s">
        <v>305</v>
      </c>
      <c r="C2" s="254"/>
      <c r="D2" s="254"/>
      <c r="E2" s="254"/>
      <c r="F2" s="254"/>
      <c r="G2" s="254"/>
      <c r="H2" s="254"/>
      <c r="I2" s="254"/>
    </row>
    <row r="3" spans="2:9" s="146" customFormat="1">
      <c r="B3" s="256" t="s">
        <v>197</v>
      </c>
      <c r="C3" s="257" t="s">
        <v>215</v>
      </c>
      <c r="D3" s="257" t="s">
        <v>199</v>
      </c>
      <c r="E3" s="257" t="s">
        <v>216</v>
      </c>
      <c r="F3" s="257" t="s">
        <v>198</v>
      </c>
      <c r="G3" s="257" t="s">
        <v>200</v>
      </c>
      <c r="H3" s="257" t="s">
        <v>201</v>
      </c>
      <c r="I3" s="257" t="s">
        <v>202</v>
      </c>
    </row>
    <row r="4" spans="2:9">
      <c r="B4" s="256" t="s">
        <v>213</v>
      </c>
      <c r="C4" s="465">
        <v>13.2</v>
      </c>
      <c r="D4" s="466">
        <v>0.4</v>
      </c>
      <c r="E4" s="466">
        <v>7</v>
      </c>
      <c r="F4" s="466">
        <v>3.4</v>
      </c>
      <c r="G4" s="474">
        <f>11/13</f>
        <v>0.84615384615384615</v>
      </c>
      <c r="H4" s="472">
        <v>6.8000000000000005E-2</v>
      </c>
      <c r="I4" s="472">
        <v>2.3E-2</v>
      </c>
    </row>
    <row r="5" spans="2:9">
      <c r="B5" s="255" t="s">
        <v>203</v>
      </c>
      <c r="C5" s="467">
        <v>9.1999999999999993</v>
      </c>
      <c r="D5" s="468">
        <v>0.24</v>
      </c>
      <c r="E5" s="468">
        <v>5.3</v>
      </c>
      <c r="F5" s="468">
        <v>2</v>
      </c>
      <c r="G5" s="475">
        <f>C5/12</f>
        <v>0.76666666666666661</v>
      </c>
      <c r="H5" s="473">
        <v>8.1000000000000003E-2</v>
      </c>
      <c r="I5" s="473">
        <v>6.0000000000000001E-3</v>
      </c>
    </row>
    <row r="6" spans="2:9">
      <c r="B6" s="255" t="s">
        <v>204</v>
      </c>
      <c r="C6" s="467">
        <v>8.3000000000000007</v>
      </c>
      <c r="D6" s="468">
        <v>0.24</v>
      </c>
      <c r="E6" s="468">
        <v>5.6</v>
      </c>
      <c r="F6" s="468">
        <v>1.1000000000000001</v>
      </c>
      <c r="G6" s="475">
        <f>C6/0.5</f>
        <v>16.600000000000001</v>
      </c>
      <c r="H6" s="473">
        <v>6.9000000000000006E-2</v>
      </c>
      <c r="I6" s="473">
        <v>1.7999999999999999E-2</v>
      </c>
    </row>
    <row r="7" spans="2:9">
      <c r="B7" s="255" t="s">
        <v>218</v>
      </c>
      <c r="C7" s="467">
        <v>9.6999999999999993</v>
      </c>
      <c r="D7" s="468">
        <v>0.34</v>
      </c>
      <c r="E7" s="468">
        <v>7.3</v>
      </c>
      <c r="F7" s="468">
        <v>1.5</v>
      </c>
      <c r="G7" s="475" t="s">
        <v>74</v>
      </c>
      <c r="H7" s="473">
        <v>7.5999999999999998E-2</v>
      </c>
      <c r="I7" s="473">
        <v>0.02</v>
      </c>
    </row>
    <row r="8" spans="2:9">
      <c r="B8" s="255" t="s">
        <v>205</v>
      </c>
      <c r="C8" s="467">
        <v>16.3</v>
      </c>
      <c r="D8" s="468">
        <v>0.8</v>
      </c>
      <c r="E8" s="468">
        <v>9</v>
      </c>
      <c r="F8" s="468">
        <v>2</v>
      </c>
      <c r="G8" s="475">
        <f>C8/5.4</f>
        <v>3.0185185185185186</v>
      </c>
      <c r="H8" s="473">
        <v>0.10100000000000001</v>
      </c>
      <c r="I8" s="473">
        <v>4.3999999999999997E-2</v>
      </c>
    </row>
    <row r="9" spans="2:9">
      <c r="B9" s="255" t="s">
        <v>217</v>
      </c>
      <c r="C9" s="467">
        <v>8.4</v>
      </c>
      <c r="D9" s="468">
        <v>0.76</v>
      </c>
      <c r="E9" s="468">
        <v>6.9</v>
      </c>
      <c r="F9" s="468">
        <v>1.6</v>
      </c>
      <c r="G9" s="475">
        <f>C9/8.9</f>
        <v>0.9438202247191011</v>
      </c>
      <c r="H9" s="473">
        <v>0.11899999999999999</v>
      </c>
      <c r="I9" s="473">
        <v>8.6E-3</v>
      </c>
    </row>
    <row r="10" spans="2:9">
      <c r="B10" s="255" t="s">
        <v>206</v>
      </c>
      <c r="C10" s="467">
        <v>18.2</v>
      </c>
      <c r="D10" s="468">
        <v>0.61</v>
      </c>
      <c r="E10" s="468">
        <v>7.5</v>
      </c>
      <c r="F10" s="468">
        <v>1</v>
      </c>
      <c r="G10" s="475">
        <f>C10/12.5</f>
        <v>1.456</v>
      </c>
      <c r="H10" s="473">
        <v>9.2999999999999999E-2</v>
      </c>
      <c r="I10" s="473">
        <v>2.5999999999999999E-2</v>
      </c>
    </row>
    <row r="11" spans="2:9">
      <c r="B11" s="255" t="s">
        <v>207</v>
      </c>
      <c r="C11" s="467">
        <v>15.4</v>
      </c>
      <c r="D11" s="468">
        <v>0.64</v>
      </c>
      <c r="E11" s="468">
        <v>9.1</v>
      </c>
      <c r="F11" s="468">
        <v>1.6</v>
      </c>
      <c r="G11" s="475">
        <f>C11/24.4</f>
        <v>0.63114754098360659</v>
      </c>
      <c r="H11" s="473">
        <v>0.13500000000000001</v>
      </c>
      <c r="I11" s="473">
        <v>3.2000000000000001E-2</v>
      </c>
    </row>
    <row r="12" spans="2:9">
      <c r="B12" s="255" t="s">
        <v>208</v>
      </c>
      <c r="C12" s="467">
        <v>6.1</v>
      </c>
      <c r="D12" s="468">
        <v>0.44</v>
      </c>
      <c r="E12" s="468">
        <v>20.3</v>
      </c>
      <c r="F12" s="468">
        <v>2.9</v>
      </c>
      <c r="G12" s="475" t="s">
        <v>74</v>
      </c>
      <c r="H12" s="473">
        <v>0.11700000000000001</v>
      </c>
      <c r="I12" s="473">
        <v>1E-3</v>
      </c>
    </row>
    <row r="13" spans="2:9">
      <c r="B13" s="255" t="s">
        <v>209</v>
      </c>
      <c r="C13" s="467">
        <v>18.8</v>
      </c>
      <c r="D13" s="468">
        <v>0.16</v>
      </c>
      <c r="E13" s="468">
        <v>8</v>
      </c>
      <c r="F13" s="468">
        <v>0.7</v>
      </c>
      <c r="G13" s="475" t="s">
        <v>74</v>
      </c>
      <c r="H13" s="473">
        <v>9.9000000000000005E-2</v>
      </c>
      <c r="I13" s="473">
        <v>8.9999999999999993E-3</v>
      </c>
    </row>
    <row r="14" spans="2:9">
      <c r="B14" s="255" t="s">
        <v>210</v>
      </c>
      <c r="C14" s="467" t="s">
        <v>74</v>
      </c>
      <c r="D14" s="468">
        <v>0.22</v>
      </c>
      <c r="E14" s="468" t="s">
        <v>74</v>
      </c>
      <c r="F14" s="468">
        <v>1.6</v>
      </c>
      <c r="G14" s="475" t="s">
        <v>74</v>
      </c>
      <c r="H14" s="473">
        <v>8.1000000000000003E-2</v>
      </c>
      <c r="I14" s="473">
        <v>-5.3999999999999999E-2</v>
      </c>
    </row>
    <row r="15" spans="2:9">
      <c r="B15" s="255" t="s">
        <v>211</v>
      </c>
      <c r="C15" s="467">
        <v>9.4</v>
      </c>
      <c r="D15" s="468">
        <v>0.62</v>
      </c>
      <c r="E15" s="468">
        <v>6.5</v>
      </c>
      <c r="F15" s="468">
        <v>1.8</v>
      </c>
      <c r="G15" s="475">
        <f>C15/19.9</f>
        <v>0.47236180904522618</v>
      </c>
      <c r="H15" s="473">
        <v>0.16400000000000001</v>
      </c>
      <c r="I15" s="473">
        <v>2.8000000000000001E-2</v>
      </c>
    </row>
    <row r="16" spans="2:9">
      <c r="B16" s="255" t="s">
        <v>212</v>
      </c>
      <c r="C16" s="467">
        <v>12.1</v>
      </c>
      <c r="D16" s="468">
        <v>0.34</v>
      </c>
      <c r="E16" s="468">
        <v>7.8</v>
      </c>
      <c r="F16" s="468">
        <v>1.4</v>
      </c>
      <c r="G16" s="475">
        <v>2.1</v>
      </c>
      <c r="H16" s="473">
        <v>7.3800000000000004E-2</v>
      </c>
      <c r="I16" s="473">
        <v>3.4099999999999998E-2</v>
      </c>
    </row>
    <row r="17" spans="2:9">
      <c r="B17" s="258" t="s">
        <v>214</v>
      </c>
      <c r="C17" s="470">
        <f>AVERAGE(C4:C16)</f>
        <v>12.091666666666667</v>
      </c>
      <c r="D17" s="470">
        <f t="shared" ref="D17:I17" si="0">AVERAGE(D4:D16)</f>
        <v>0.44692307692307698</v>
      </c>
      <c r="E17" s="470">
        <f t="shared" si="0"/>
        <v>8.3583333333333325</v>
      </c>
      <c r="F17" s="470">
        <f t="shared" si="0"/>
        <v>1.7384615384615383</v>
      </c>
      <c r="G17" s="470">
        <f t="shared" si="0"/>
        <v>2.9816298451207737</v>
      </c>
      <c r="H17" s="471">
        <f t="shared" si="0"/>
        <v>9.8215384615384607E-2</v>
      </c>
      <c r="I17" s="471">
        <f t="shared" si="0"/>
        <v>1.5053846153846156E-2</v>
      </c>
    </row>
    <row r="18" spans="2:9">
      <c r="B18" s="255" t="s">
        <v>304</v>
      </c>
      <c r="C18" s="469">
        <f>C4/C17-1</f>
        <v>9.166092350103372E-2</v>
      </c>
      <c r="D18" s="252"/>
      <c r="E18" s="250"/>
      <c r="F18" s="250">
        <f t="shared" ref="F18" si="1">F4/F17-1</f>
        <v>0.95575221238938068</v>
      </c>
      <c r="G18" s="250"/>
      <c r="H18" s="251"/>
      <c r="I18" s="251"/>
    </row>
    <row r="21" spans="2:9">
      <c r="C21" s="196"/>
    </row>
  </sheetData>
  <phoneticPr fontId="74" type="noConversion"/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990000"/>
  </sheetPr>
  <dimension ref="B2:E11"/>
  <sheetViews>
    <sheetView showGridLines="0" workbookViewId="0">
      <selection activeCell="B2" sqref="B2"/>
    </sheetView>
  </sheetViews>
  <sheetFormatPr baseColWidth="10" defaultColWidth="8.83203125" defaultRowHeight="15"/>
  <cols>
    <col min="1" max="1" width="3.6640625" customWidth="1"/>
    <col min="2" max="2" width="39" customWidth="1"/>
  </cols>
  <sheetData>
    <row r="2" spans="2:5">
      <c r="B2" s="285" t="s">
        <v>373</v>
      </c>
      <c r="C2" s="285">
        <v>2015</v>
      </c>
      <c r="D2" s="285">
        <v>2016</v>
      </c>
      <c r="E2" s="285">
        <v>2017</v>
      </c>
    </row>
    <row r="3" spans="2:5">
      <c r="B3" s="269" t="s">
        <v>364</v>
      </c>
      <c r="C3" s="476">
        <f>(TOWER!N101/TOWER!N5)/(TOWER!I101/TOWER!I5)</f>
        <v>1.1677055839517867</v>
      </c>
      <c r="D3" s="476">
        <f>(TOWER!S101/TOWER!S5)/(TOWER!N101/TOWER!N5)</f>
        <v>0.86571006898186276</v>
      </c>
      <c r="E3" s="476">
        <f>(TOWER!X101/TOWER!X5)/(TOWER!S101/TOWER!S5)</f>
        <v>1.1196193829111247</v>
      </c>
    </row>
    <row r="4" spans="2:5">
      <c r="B4" s="269" t="s">
        <v>365</v>
      </c>
      <c r="C4" s="476">
        <f>((TOWER!I5-TOWER!I6)/(TOWER!I5))/((TOWER!N5-TOWER!N6)/(TOWER!N5))</f>
        <v>0.90055549527375878</v>
      </c>
      <c r="D4" s="476">
        <f>((TOWER!N5-TOWER!N6)/(TOWER!N5))/((TOWER!S5-TOWER!S6)/(TOWER!S5))</f>
        <v>0.99031961451796957</v>
      </c>
      <c r="E4" s="476">
        <f>((TOWER!S5-TOWER!S6)/(TOWER!S5))/((TOWER!X5-TOWER!X6)/(TOWER!X5))</f>
        <v>0.98006271819878099</v>
      </c>
    </row>
    <row r="5" spans="2:5">
      <c r="B5" s="269" t="s">
        <v>366</v>
      </c>
      <c r="C5" s="476">
        <f>((1-(TOWER!N104+TOWER!N106)/TOWER!N110))/((1-(TOWER!I104+TOWER!I106)/(TOWER!I110)))</f>
        <v>2.037584258183962</v>
      </c>
      <c r="D5" s="476">
        <f>((1-(TOWER!S104+TOWER!S106)/TOWER!S110))/((1-(TOWER!N104+TOWER!N106)/(TOWER!N110)))</f>
        <v>1.0274455464458712</v>
      </c>
      <c r="E5" s="476">
        <f>((1-(TOWER!X104+TOWER!X106)/TOWER!X110))/((1-(TOWER!S104+TOWER!S106)/TOWER!S110))</f>
        <v>1.1370571606017026</v>
      </c>
    </row>
    <row r="6" spans="2:5">
      <c r="B6" s="269" t="s">
        <v>367</v>
      </c>
      <c r="C6" s="476">
        <f>TOWER!N5/TOWER!I5</f>
        <v>0.90362046436310883</v>
      </c>
      <c r="D6" s="476">
        <f>TOWER!S5/TOWER!N5</f>
        <v>0.96647047964111565</v>
      </c>
      <c r="E6" s="476">
        <f>TOWER!X5/TOWER!S5</f>
        <v>1.0389119016566459</v>
      </c>
    </row>
    <row r="7" spans="2:5">
      <c r="B7" s="269" t="s">
        <v>368</v>
      </c>
      <c r="C7" s="476">
        <f>(TOWER!I143/(TOWER!I143+TOWER!I106))/(TOWER!N143/(TOWER!N143+TOWER!N106))</f>
        <v>1.0567584793860807</v>
      </c>
      <c r="D7" s="476">
        <f>(TOWER!N143/(TOWER!N143+TOWER!N106))/(TOWER!S143/(TOWER!S143+TOWER!S106))</f>
        <v>1.1220513271598569</v>
      </c>
      <c r="E7" s="476">
        <f>(TOWER!S143/(TOWER!S143+TOWER!S106))/(TOWER!X143/(TOWER!X143+TOWER!X106))</f>
        <v>0.8868698592397618</v>
      </c>
    </row>
    <row r="8" spans="2:5">
      <c r="B8" s="269" t="s">
        <v>369</v>
      </c>
      <c r="C8" s="476">
        <f>(TOWER!N10/TOWER!N5)/(TOWER!I10/TOWER!I5)</f>
        <v>1.1531810958670983</v>
      </c>
      <c r="D8" s="476">
        <f>(TOWER!S10/TOWER!S5)/(TOWER!N10/TOWER!N5)</f>
        <v>1.1775816382833963</v>
      </c>
      <c r="E8" s="476">
        <f>(TOWER!X10/TOWER!X5)/(TOWER!S10/TOWER!S5)</f>
        <v>0.97945206747179625</v>
      </c>
    </row>
    <row r="9" spans="2:5">
      <c r="B9" s="269" t="s">
        <v>370</v>
      </c>
      <c r="C9" s="476">
        <f>((TOWER!N116+TOWER!N118)/(TOWER!N110))/((TOWER!I116+TOWER!I118)/TOWER!I110)</f>
        <v>0.99052714517546314</v>
      </c>
      <c r="D9" s="476">
        <f>((TOWER!S116+TOWER!S118)/(TOWER!S110))/((TOWER!N116+TOWER!N118)/TOWER!N110)</f>
        <v>0.9967920947472233</v>
      </c>
      <c r="E9" s="476">
        <f>((TOWER!X116+TOWER!X118)/(TOWER!X110))/((TOWER!S116+TOWER!S118)/TOWER!S110)</f>
        <v>0.97289805022691833</v>
      </c>
    </row>
    <row r="10" spans="2:5">
      <c r="B10" s="269" t="s">
        <v>371</v>
      </c>
      <c r="C10" s="476">
        <f>(TOWER!N51-TOWER!N152)/TOWER!N110</f>
        <v>-2.5067286010103974E-2</v>
      </c>
      <c r="D10" s="476">
        <f>(TOWER!S51-TOWER!S152)/TOWER!S110</f>
        <v>-4.4949917789114141E-2</v>
      </c>
      <c r="E10" s="476">
        <f>(TOWER!X51-TOWER!X152)/TOWER!X110</f>
        <v>4.2978954670232668E-3</v>
      </c>
    </row>
    <row r="11" spans="2:5">
      <c r="B11" s="285" t="s">
        <v>372</v>
      </c>
      <c r="C11" s="309">
        <f>-4.84+0.92*C3+0.528*C4+0.404*C5+0.892*C6+0.115*C7-0.172*C8-0.327*C9+4.697*C10</f>
        <v>-2.1794674089631738</v>
      </c>
      <c r="D11" s="309">
        <f>-4.84+0.92*D3+0.528*D4+0.404*D5+0.892*D6+0.115*D7-0.172*D8-0.327*D9+4.697*D10</f>
        <v>-2.854067229466362</v>
      </c>
      <c r="E11" s="309">
        <f>-4.84+0.92*E3+0.528*E4+0.404*E5+0.892*E6+0.115*E7-0.172*E8-0.327*E9+4.697*E10</f>
        <v>-2.2708227125601632</v>
      </c>
    </row>
  </sheetData>
  <phoneticPr fontId="74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3"/>
  </sheetPr>
  <dimension ref="A4:AE221"/>
  <sheetViews>
    <sheetView showGridLines="0" topLeftCell="A4" workbookViewId="0">
      <selection activeCell="N164" sqref="N164"/>
    </sheetView>
  </sheetViews>
  <sheetFormatPr baseColWidth="10" defaultColWidth="8.83203125" defaultRowHeight="15"/>
  <cols>
    <col min="2" max="2" width="9.1640625" customWidth="1"/>
    <col min="3" max="3" width="8.6640625" customWidth="1"/>
    <col min="4" max="4" width="8.83203125" style="210" hidden="1" customWidth="1"/>
    <col min="6" max="6" width="9.6640625" style="211" customWidth="1"/>
    <col min="8" max="8" width="33.6640625" customWidth="1"/>
    <col min="10" max="10" width="11.83203125" bestFit="1" customWidth="1"/>
    <col min="11" max="11" width="7.5" customWidth="1"/>
    <col min="15" max="15" width="12.1640625" customWidth="1"/>
    <col min="16" max="16" width="9" customWidth="1"/>
    <col min="17" max="17" width="9.1640625" customWidth="1"/>
    <col min="18" max="18" width="14.6640625" customWidth="1"/>
    <col min="20" max="20" width="6.5" customWidth="1"/>
    <col min="21" max="21" width="17.5" customWidth="1"/>
    <col min="22" max="22" width="8.83203125" style="248"/>
    <col min="23" max="23" width="14.33203125" customWidth="1"/>
  </cols>
  <sheetData>
    <row r="4" spans="2:27">
      <c r="D4" s="69"/>
      <c r="E4" s="64"/>
      <c r="F4" s="260"/>
      <c r="G4" s="64"/>
      <c r="H4" s="64"/>
      <c r="I4" s="64"/>
      <c r="J4" s="64"/>
      <c r="K4" s="64"/>
      <c r="L4" s="64"/>
      <c r="M4" s="64"/>
    </row>
    <row r="5" spans="2:27" ht="5.25" customHeight="1">
      <c r="D5" s="225"/>
      <c r="E5" s="214"/>
      <c r="F5" s="214"/>
      <c r="G5" s="214"/>
      <c r="H5" s="214"/>
      <c r="I5" s="214"/>
      <c r="J5" s="214"/>
      <c r="K5" s="214"/>
      <c r="L5" s="214"/>
      <c r="M5" s="214"/>
    </row>
    <row r="10" spans="2:27" ht="8.25" customHeight="1">
      <c r="D10" s="225"/>
      <c r="E10" s="214"/>
      <c r="F10" s="214"/>
      <c r="G10" s="214"/>
      <c r="H10" s="214"/>
      <c r="I10" s="214"/>
      <c r="J10" s="214"/>
      <c r="K10" s="214"/>
      <c r="L10" s="214"/>
      <c r="M10" s="214"/>
      <c r="N10" s="64"/>
    </row>
    <row r="12" spans="2:27">
      <c r="E12" s="127"/>
      <c r="F12" s="261"/>
      <c r="H12" s="127"/>
    </row>
    <row r="13" spans="2:27">
      <c r="E13" s="127"/>
      <c r="F13" s="261"/>
      <c r="H13" s="127"/>
    </row>
    <row r="14" spans="2:27">
      <c r="E14" s="127"/>
      <c r="F14" s="261"/>
      <c r="R14" s="272"/>
      <c r="S14" s="272"/>
      <c r="T14" s="272"/>
      <c r="U14" s="272"/>
      <c r="V14" s="232"/>
      <c r="W14" s="272"/>
      <c r="X14" s="272"/>
      <c r="Y14" s="272"/>
      <c r="Z14" s="272"/>
    </row>
    <row r="15" spans="2:27">
      <c r="H15" s="127"/>
      <c r="I15" s="127"/>
      <c r="J15" s="127"/>
      <c r="K15" s="127"/>
      <c r="L15" s="127"/>
      <c r="M15" s="127"/>
      <c r="N15" s="127"/>
      <c r="O15" s="127"/>
      <c r="P15" s="127"/>
      <c r="R15" s="270" t="s">
        <v>316</v>
      </c>
      <c r="S15" s="499" t="s">
        <v>319</v>
      </c>
      <c r="T15" s="500"/>
      <c r="U15" s="270" t="s">
        <v>322</v>
      </c>
      <c r="V15" s="503" t="s">
        <v>325</v>
      </c>
      <c r="W15" s="270" t="s">
        <v>326</v>
      </c>
      <c r="X15" s="499" t="s">
        <v>329</v>
      </c>
      <c r="Y15" s="271"/>
      <c r="Z15" s="274"/>
      <c r="AA15" s="271"/>
    </row>
    <row r="16" spans="2:27">
      <c r="B16" s="215" t="s">
        <v>219</v>
      </c>
      <c r="C16" s="215"/>
      <c r="D16" s="226"/>
      <c r="E16" s="216"/>
      <c r="F16" s="262"/>
      <c r="G16" s="216"/>
      <c r="H16" s="127"/>
      <c r="I16" s="127"/>
      <c r="J16" s="127"/>
      <c r="K16" s="127"/>
      <c r="L16" s="127"/>
      <c r="M16" s="127"/>
      <c r="N16" s="127"/>
      <c r="O16" s="127"/>
      <c r="P16" s="127"/>
      <c r="R16" s="270" t="s">
        <v>318</v>
      </c>
      <c r="S16" s="499" t="s">
        <v>321</v>
      </c>
      <c r="T16" s="500"/>
      <c r="U16" s="270" t="s">
        <v>323</v>
      </c>
      <c r="V16" s="504">
        <v>26.09</v>
      </c>
      <c r="W16" s="270" t="s">
        <v>327</v>
      </c>
      <c r="X16" s="499" t="s">
        <v>330</v>
      </c>
      <c r="Y16" s="271"/>
      <c r="Z16" s="274"/>
      <c r="AA16" s="271"/>
    </row>
    <row r="17" spans="2:27">
      <c r="B17" s="217" t="s">
        <v>220</v>
      </c>
      <c r="C17" s="217"/>
      <c r="D17" s="227"/>
      <c r="E17" s="218"/>
      <c r="F17" s="263"/>
      <c r="G17" s="221"/>
      <c r="H17" s="213"/>
      <c r="I17" s="213"/>
      <c r="J17" s="127"/>
      <c r="K17" s="127"/>
      <c r="L17" s="127"/>
      <c r="M17" s="127"/>
      <c r="N17" s="127"/>
      <c r="O17" s="127"/>
      <c r="P17" s="127"/>
      <c r="R17" s="270" t="s">
        <v>317</v>
      </c>
      <c r="S17" s="501" t="s">
        <v>320</v>
      </c>
      <c r="T17" s="502"/>
      <c r="U17" s="270" t="s">
        <v>324</v>
      </c>
      <c r="V17" s="505">
        <f>F32</f>
        <v>0.44577195965501515</v>
      </c>
      <c r="W17" s="270" t="s">
        <v>328</v>
      </c>
      <c r="X17" s="501" t="s">
        <v>331</v>
      </c>
      <c r="Y17" s="273"/>
      <c r="Z17" s="275"/>
      <c r="AA17" s="271"/>
    </row>
    <row r="18" spans="2:27">
      <c r="B18" s="219" t="s">
        <v>332</v>
      </c>
      <c r="C18" s="219"/>
      <c r="D18" s="228"/>
      <c r="E18" s="480" t="s">
        <v>226</v>
      </c>
      <c r="F18" s="264"/>
      <c r="G18" s="220"/>
      <c r="H18" s="127"/>
      <c r="I18" s="213"/>
      <c r="J18" s="127"/>
      <c r="K18" s="127"/>
      <c r="L18" s="127"/>
      <c r="M18" s="127"/>
      <c r="N18" s="127"/>
      <c r="O18" s="127"/>
      <c r="P18" s="127"/>
      <c r="R18" s="127"/>
      <c r="V18"/>
    </row>
    <row r="19" spans="2:27">
      <c r="B19" s="219" t="s">
        <v>222</v>
      </c>
      <c r="C19" s="219"/>
      <c r="D19" s="228"/>
      <c r="E19" s="480" t="s">
        <v>221</v>
      </c>
      <c r="F19" s="264"/>
      <c r="G19" s="220"/>
      <c r="H19" s="127"/>
      <c r="I19" s="127"/>
      <c r="J19" s="127"/>
      <c r="K19" s="127"/>
      <c r="L19" s="127"/>
      <c r="M19" s="127"/>
      <c r="N19" s="127"/>
      <c r="O19" s="127"/>
      <c r="P19" s="127"/>
    </row>
    <row r="20" spans="2:27">
      <c r="B20" s="219" t="s">
        <v>223</v>
      </c>
      <c r="C20" s="219"/>
      <c r="D20" s="228"/>
      <c r="E20" s="480" t="s">
        <v>227</v>
      </c>
      <c r="F20" s="264"/>
      <c r="G20" s="220"/>
    </row>
    <row r="21" spans="2:27">
      <c r="B21" s="219" t="s">
        <v>224</v>
      </c>
      <c r="C21" s="219"/>
      <c r="D21" s="229"/>
      <c r="E21" s="480" t="s">
        <v>227</v>
      </c>
      <c r="F21" s="264"/>
      <c r="G21" s="220"/>
    </row>
    <row r="22" spans="2:27">
      <c r="B22" s="219" t="s">
        <v>225</v>
      </c>
      <c r="C22" s="219"/>
      <c r="D22" s="229"/>
      <c r="E22" s="479" t="s">
        <v>228</v>
      </c>
      <c r="F22" s="265"/>
      <c r="G22" s="220"/>
    </row>
    <row r="23" spans="2:27">
      <c r="B23" s="216"/>
      <c r="C23" s="216"/>
      <c r="D23" s="226"/>
      <c r="E23" s="216"/>
      <c r="F23" s="262"/>
      <c r="G23" s="216"/>
    </row>
    <row r="24" spans="2:27">
      <c r="B24" s="215" t="s">
        <v>229</v>
      </c>
      <c r="C24" s="215"/>
    </row>
    <row r="25" spans="2:27">
      <c r="B25" s="217" t="s">
        <v>230</v>
      </c>
      <c r="C25" s="217"/>
      <c r="D25" s="230"/>
      <c r="E25" s="224"/>
      <c r="F25" s="266"/>
    </row>
    <row r="26" spans="2:27">
      <c r="B26" s="219" t="s">
        <v>232</v>
      </c>
      <c r="C26" s="219"/>
      <c r="D26" s="231" t="s">
        <v>235</v>
      </c>
      <c r="E26" s="231" t="s">
        <v>233</v>
      </c>
      <c r="F26" s="267" t="s">
        <v>231</v>
      </c>
    </row>
    <row r="27" spans="2:27">
      <c r="B27" s="219" t="s">
        <v>234</v>
      </c>
      <c r="C27" s="219"/>
      <c r="D27" s="231"/>
      <c r="E27" s="477">
        <v>0.5</v>
      </c>
      <c r="F27" s="485">
        <f>E27*DCF!T23</f>
        <v>13.375989967817647</v>
      </c>
    </row>
    <row r="28" spans="2:27">
      <c r="B28" s="219" t="s">
        <v>225</v>
      </c>
      <c r="C28" s="219"/>
      <c r="D28" s="231"/>
      <c r="E28" s="478">
        <v>0.5</v>
      </c>
      <c r="F28" s="486">
        <f>E28*DCF!T6</f>
        <v>12.618989866779527</v>
      </c>
    </row>
    <row r="29" spans="2:27">
      <c r="B29" s="219" t="s">
        <v>239</v>
      </c>
      <c r="C29" s="219"/>
      <c r="D29" s="231"/>
      <c r="E29" s="220"/>
      <c r="F29" s="485">
        <f>F28+F27</f>
        <v>25.994979834597174</v>
      </c>
    </row>
    <row r="30" spans="2:27">
      <c r="B30" s="219" t="s">
        <v>236</v>
      </c>
      <c r="C30" s="219"/>
      <c r="D30" s="231"/>
      <c r="E30" s="222"/>
      <c r="F30" s="487">
        <f>F29/DCF!D28-1</f>
        <v>0.44577195965501515</v>
      </c>
    </row>
    <row r="31" spans="2:27">
      <c r="B31" s="219" t="s">
        <v>237</v>
      </c>
      <c r="C31" s="219"/>
      <c r="D31" s="231"/>
      <c r="E31" s="220"/>
      <c r="F31" s="506" t="s">
        <v>315</v>
      </c>
    </row>
    <row r="32" spans="2:27">
      <c r="B32" s="219" t="s">
        <v>238</v>
      </c>
      <c r="C32" s="219"/>
      <c r="E32" s="223"/>
      <c r="F32" s="484">
        <f>F30</f>
        <v>0.44577195965501515</v>
      </c>
    </row>
    <row r="34" spans="2:10">
      <c r="B34" s="215" t="s">
        <v>240</v>
      </c>
      <c r="C34" s="215"/>
    </row>
    <row r="35" spans="2:10">
      <c r="B35" s="217" t="s">
        <v>241</v>
      </c>
      <c r="C35" s="217"/>
      <c r="D35" s="230"/>
      <c r="E35" s="224"/>
      <c r="F35" s="266"/>
    </row>
    <row r="36" spans="2:10">
      <c r="B36" s="219" t="s">
        <v>242</v>
      </c>
      <c r="C36" s="219"/>
      <c r="D36" s="228"/>
      <c r="E36" s="219" t="s">
        <v>254</v>
      </c>
      <c r="F36" s="267" t="s">
        <v>255</v>
      </c>
      <c r="G36" s="220"/>
      <c r="H36" s="127"/>
      <c r="I36" s="127"/>
      <c r="J36" s="127"/>
    </row>
    <row r="37" spans="2:10">
      <c r="B37" s="219" t="s">
        <v>243</v>
      </c>
      <c r="C37" s="219"/>
      <c r="D37" s="228"/>
      <c r="E37" s="219"/>
      <c r="F37" s="482">
        <v>0.1033</v>
      </c>
      <c r="H37" s="235"/>
      <c r="I37" s="236"/>
      <c r="J37" s="127"/>
    </row>
    <row r="38" spans="2:10">
      <c r="B38" s="219" t="s">
        <v>244</v>
      </c>
      <c r="C38" s="219"/>
      <c r="D38" s="228"/>
      <c r="E38" s="219"/>
      <c r="F38" s="482">
        <v>9.98E-2</v>
      </c>
      <c r="H38" s="235"/>
      <c r="I38" s="236"/>
      <c r="J38" s="127"/>
    </row>
    <row r="39" spans="2:10">
      <c r="B39" s="219" t="s">
        <v>245</v>
      </c>
      <c r="C39" s="219"/>
      <c r="D39" s="228"/>
      <c r="E39" s="219"/>
      <c r="F39" s="482">
        <v>7.46E-2</v>
      </c>
      <c r="H39" s="235"/>
      <c r="I39" s="236"/>
      <c r="J39" s="127"/>
    </row>
    <row r="40" spans="2:10">
      <c r="B40" s="219" t="s">
        <v>246</v>
      </c>
      <c r="C40" s="219"/>
      <c r="D40" s="228"/>
      <c r="E40" s="219"/>
      <c r="F40" s="482">
        <v>7.0900000000000005E-2</v>
      </c>
      <c r="H40" s="235"/>
      <c r="I40" s="236"/>
      <c r="J40" s="127"/>
    </row>
    <row r="41" spans="2:10">
      <c r="B41" s="219" t="s">
        <v>247</v>
      </c>
      <c r="C41" s="219"/>
      <c r="D41" s="228"/>
      <c r="E41" s="219"/>
      <c r="F41" s="482">
        <v>6.0699999999999997E-2</v>
      </c>
      <c r="H41" s="235"/>
      <c r="I41" s="236"/>
      <c r="J41" s="127"/>
    </row>
    <row r="42" spans="2:10">
      <c r="B42" s="219" t="s">
        <v>248</v>
      </c>
      <c r="C42" s="219"/>
      <c r="D42" s="228"/>
      <c r="E42" s="219"/>
      <c r="F42" s="482">
        <v>5.2600000000000001E-2</v>
      </c>
      <c r="H42" s="235"/>
      <c r="I42" s="236"/>
      <c r="J42" s="127"/>
    </row>
    <row r="43" spans="2:10">
      <c r="B43" s="219" t="s">
        <v>249</v>
      </c>
      <c r="C43" s="219"/>
      <c r="D43" s="228"/>
      <c r="E43" s="219"/>
      <c r="F43" s="482">
        <v>3.4299999999999997E-2</v>
      </c>
      <c r="H43" s="235"/>
      <c r="I43" s="236"/>
      <c r="J43" s="127"/>
    </row>
    <row r="44" spans="2:10">
      <c r="B44" s="219" t="s">
        <v>250</v>
      </c>
      <c r="C44" s="219"/>
      <c r="D44" s="228"/>
      <c r="E44" s="219"/>
      <c r="F44" s="482">
        <v>2.47E-2</v>
      </c>
      <c r="H44" s="235"/>
      <c r="I44" s="236"/>
      <c r="J44" s="127"/>
    </row>
    <row r="45" spans="2:10">
      <c r="B45" s="219" t="s">
        <v>251</v>
      </c>
      <c r="C45" s="219"/>
      <c r="D45" s="228"/>
      <c r="E45" s="219"/>
      <c r="F45" s="482">
        <v>2.4199999999999999E-2</v>
      </c>
      <c r="H45" s="235"/>
      <c r="I45" s="236"/>
      <c r="J45" s="127"/>
    </row>
    <row r="46" spans="2:10">
      <c r="B46" s="233" t="s">
        <v>252</v>
      </c>
      <c r="C46" s="233"/>
      <c r="D46" s="234"/>
      <c r="E46" s="233"/>
      <c r="F46" s="483">
        <v>2.3E-2</v>
      </c>
      <c r="H46" s="235"/>
      <c r="I46" s="236"/>
    </row>
    <row r="47" spans="2:10">
      <c r="B47" s="219" t="s">
        <v>253</v>
      </c>
      <c r="C47" s="219"/>
      <c r="D47" s="228"/>
      <c r="E47" s="219"/>
      <c r="F47" s="481">
        <f>SUM(F37:F46)</f>
        <v>0.56809999999999994</v>
      </c>
      <c r="H47" s="128"/>
      <c r="I47" s="128"/>
    </row>
    <row r="48" spans="2:10">
      <c r="H48" s="64"/>
      <c r="I48" s="64"/>
    </row>
    <row r="49" spans="2:16">
      <c r="B49" s="215" t="s">
        <v>256</v>
      </c>
      <c r="C49" s="215"/>
    </row>
    <row r="50" spans="2:16">
      <c r="B50" s="217" t="s">
        <v>241</v>
      </c>
      <c r="C50" s="217"/>
      <c r="D50" s="230"/>
      <c r="E50" s="224"/>
      <c r="F50" s="266"/>
    </row>
    <row r="51" spans="2:16">
      <c r="B51" s="219" t="s">
        <v>260</v>
      </c>
      <c r="C51" s="219"/>
      <c r="D51" s="228"/>
      <c r="E51" s="219"/>
      <c r="F51" s="267" t="s">
        <v>255</v>
      </c>
    </row>
    <row r="52" spans="2:16">
      <c r="B52" s="219" t="s">
        <v>257</v>
      </c>
      <c r="C52" s="219"/>
      <c r="D52" s="228"/>
      <c r="E52" s="219"/>
      <c r="F52" s="506"/>
    </row>
    <row r="53" spans="2:16">
      <c r="B53" s="219" t="s">
        <v>258</v>
      </c>
      <c r="C53" s="219"/>
      <c r="D53" s="228"/>
      <c r="E53" s="219"/>
      <c r="F53" s="506"/>
    </row>
    <row r="54" spans="2:16">
      <c r="B54" s="219" t="s">
        <v>259</v>
      </c>
      <c r="C54" s="219"/>
      <c r="D54" s="228"/>
      <c r="E54" s="219"/>
      <c r="F54" s="519"/>
    </row>
    <row r="55" spans="2:16">
      <c r="H55" s="239"/>
    </row>
    <row r="56" spans="2:16">
      <c r="B56" s="215" t="s">
        <v>261</v>
      </c>
    </row>
    <row r="57" spans="2:16">
      <c r="B57" s="237" t="s">
        <v>262</v>
      </c>
    </row>
    <row r="58" spans="2:16">
      <c r="C58" s="237"/>
      <c r="D58" s="238"/>
      <c r="E58" s="237"/>
      <c r="F58" s="268"/>
    </row>
    <row r="59" spans="2:16">
      <c r="O59" t="s">
        <v>167</v>
      </c>
      <c r="P59" t="s">
        <v>334</v>
      </c>
    </row>
    <row r="60" spans="2:16">
      <c r="O60" s="24">
        <f>AVERAGE(DCF!N16,DCF!N33)</f>
        <v>0.59479245111175949</v>
      </c>
      <c r="P60" s="24">
        <f>1-O60</f>
        <v>0.40520754888824051</v>
      </c>
    </row>
    <row r="72" spans="1:10">
      <c r="B72" s="215" t="s">
        <v>263</v>
      </c>
    </row>
    <row r="73" spans="1:10">
      <c r="B73" s="217" t="s">
        <v>264</v>
      </c>
      <c r="C73" s="217"/>
      <c r="D73" s="230"/>
      <c r="E73" s="243"/>
      <c r="F73" s="266"/>
    </row>
    <row r="74" spans="1:10">
      <c r="A74" s="240"/>
      <c r="B74" s="488" t="s">
        <v>265</v>
      </c>
      <c r="C74" s="489"/>
      <c r="D74" s="490"/>
      <c r="E74" s="488" t="s">
        <v>269</v>
      </c>
      <c r="F74" s="491"/>
    </row>
    <row r="75" spans="1:10">
      <c r="A75" s="240"/>
      <c r="B75" s="488" t="s">
        <v>272</v>
      </c>
      <c r="C75" s="489"/>
      <c r="D75" s="490"/>
      <c r="E75" s="488" t="s">
        <v>270</v>
      </c>
      <c r="F75" s="491"/>
    </row>
    <row r="76" spans="1:10">
      <c r="A76" s="240"/>
      <c r="B76" s="488" t="s">
        <v>266</v>
      </c>
      <c r="C76" s="489"/>
      <c r="D76" s="490"/>
      <c r="E76" s="488" t="s">
        <v>271</v>
      </c>
      <c r="F76" s="491"/>
    </row>
    <row r="77" spans="1:10">
      <c r="A77" s="240"/>
      <c r="B77" s="492" t="s">
        <v>268</v>
      </c>
      <c r="C77" s="493"/>
      <c r="D77" s="494"/>
      <c r="E77" s="495" t="s">
        <v>267</v>
      </c>
      <c r="F77" s="496"/>
      <c r="H77" s="241"/>
      <c r="I77" s="242"/>
      <c r="J77" s="127"/>
    </row>
    <row r="79" spans="1:10">
      <c r="B79" s="215" t="s">
        <v>273</v>
      </c>
    </row>
    <row r="80" spans="1:10">
      <c r="B80" s="217" t="s">
        <v>274</v>
      </c>
      <c r="C80" s="217"/>
      <c r="D80" s="230"/>
      <c r="E80" s="243"/>
      <c r="F80" s="266"/>
    </row>
    <row r="81" spans="1:19">
      <c r="A81" s="240"/>
      <c r="B81" s="488" t="s">
        <v>300</v>
      </c>
      <c r="C81" s="489"/>
      <c r="D81" s="490"/>
      <c r="E81" s="490" t="s">
        <v>307</v>
      </c>
      <c r="F81" s="491"/>
    </row>
    <row r="82" spans="1:19">
      <c r="A82" s="240"/>
      <c r="B82" s="489" t="s">
        <v>311</v>
      </c>
      <c r="C82" s="489"/>
      <c r="D82" s="490"/>
      <c r="E82" s="489" t="s">
        <v>306</v>
      </c>
      <c r="F82" s="491"/>
    </row>
    <row r="83" spans="1:19">
      <c r="A83" s="240"/>
      <c r="B83" s="489" t="s">
        <v>312</v>
      </c>
      <c r="C83" s="489"/>
      <c r="D83" s="490"/>
      <c r="E83" s="489" t="s">
        <v>308</v>
      </c>
      <c r="F83" s="491"/>
    </row>
    <row r="84" spans="1:19">
      <c r="A84" s="240"/>
      <c r="B84" s="489" t="s">
        <v>309</v>
      </c>
      <c r="C84" s="489"/>
      <c r="D84" s="490"/>
      <c r="E84" s="489" t="s">
        <v>314</v>
      </c>
      <c r="F84" s="491"/>
    </row>
    <row r="85" spans="1:19">
      <c r="A85" s="240"/>
      <c r="B85" s="497" t="s">
        <v>310</v>
      </c>
      <c r="C85" s="493"/>
      <c r="D85" s="494"/>
      <c r="E85" s="493" t="s">
        <v>313</v>
      </c>
      <c r="F85" s="496"/>
    </row>
    <row r="87" spans="1:19">
      <c r="B87" s="215" t="s">
        <v>275</v>
      </c>
    </row>
    <row r="88" spans="1:19">
      <c r="B88" s="217" t="s">
        <v>276</v>
      </c>
      <c r="C88" s="217"/>
      <c r="D88" s="230"/>
      <c r="E88" s="243"/>
      <c r="F88" s="266"/>
      <c r="I88" s="210" t="s">
        <v>289</v>
      </c>
      <c r="J88" t="s">
        <v>290</v>
      </c>
      <c r="K88" t="s">
        <v>290</v>
      </c>
      <c r="L88" t="s">
        <v>290</v>
      </c>
      <c r="M88" t="s">
        <v>290</v>
      </c>
      <c r="N88" t="s">
        <v>291</v>
      </c>
    </row>
    <row r="89" spans="1:19">
      <c r="H89" s="480" t="s">
        <v>277</v>
      </c>
      <c r="I89" s="498">
        <v>5</v>
      </c>
      <c r="J89" s="498">
        <v>4</v>
      </c>
      <c r="K89" s="498">
        <v>3</v>
      </c>
      <c r="L89" s="498">
        <v>2</v>
      </c>
      <c r="M89" s="498">
        <v>1</v>
      </c>
      <c r="N89" s="498">
        <v>4</v>
      </c>
      <c r="R89" s="548" t="s">
        <v>282</v>
      </c>
      <c r="S89" s="548"/>
    </row>
    <row r="90" spans="1:19">
      <c r="H90" s="480" t="s">
        <v>278</v>
      </c>
      <c r="I90" s="498">
        <v>5</v>
      </c>
      <c r="J90" s="498">
        <v>4</v>
      </c>
      <c r="K90" s="498">
        <v>3</v>
      </c>
      <c r="L90" s="498">
        <v>2</v>
      </c>
      <c r="M90" s="498">
        <v>1</v>
      </c>
      <c r="N90" s="498">
        <v>3</v>
      </c>
      <c r="Q90" s="240"/>
      <c r="R90" s="244" t="s">
        <v>283</v>
      </c>
      <c r="S90" s="246" t="s">
        <v>286</v>
      </c>
    </row>
    <row r="91" spans="1:19">
      <c r="H91" s="480" t="s">
        <v>279</v>
      </c>
      <c r="I91" s="498">
        <v>5</v>
      </c>
      <c r="J91" s="498">
        <v>4</v>
      </c>
      <c r="K91" s="498">
        <v>3</v>
      </c>
      <c r="L91" s="498">
        <v>2</v>
      </c>
      <c r="M91" s="498">
        <v>1</v>
      </c>
      <c r="N91" s="498">
        <v>3</v>
      </c>
      <c r="Q91" s="240"/>
      <c r="R91" s="244" t="s">
        <v>284</v>
      </c>
      <c r="S91" s="246" t="s">
        <v>287</v>
      </c>
    </row>
    <row r="92" spans="1:19">
      <c r="H92" s="480" t="s">
        <v>280</v>
      </c>
      <c r="I92" s="498">
        <v>5</v>
      </c>
      <c r="J92" s="498">
        <v>4</v>
      </c>
      <c r="K92" s="498">
        <v>3</v>
      </c>
      <c r="L92" s="498">
        <v>2</v>
      </c>
      <c r="M92" s="498">
        <v>1</v>
      </c>
      <c r="N92" s="498">
        <v>1</v>
      </c>
      <c r="Q92" s="240"/>
      <c r="R92" s="245" t="s">
        <v>285</v>
      </c>
      <c r="S92" s="247" t="s">
        <v>288</v>
      </c>
    </row>
    <row r="93" spans="1:19">
      <c r="H93" s="480" t="s">
        <v>281</v>
      </c>
      <c r="I93" s="498">
        <v>5</v>
      </c>
      <c r="J93" s="498">
        <v>4</v>
      </c>
      <c r="K93" s="498">
        <v>3</v>
      </c>
      <c r="L93" s="498">
        <v>2</v>
      </c>
      <c r="M93" s="498">
        <v>1</v>
      </c>
      <c r="N93" s="498">
        <v>4</v>
      </c>
      <c r="S93" s="220"/>
    </row>
    <row r="94" spans="1:19">
      <c r="S94" s="220"/>
    </row>
    <row r="95" spans="1:19">
      <c r="S95" s="220"/>
    </row>
    <row r="96" spans="1:19">
      <c r="R96" s="220"/>
      <c r="S96" s="220"/>
    </row>
    <row r="104" spans="2:6">
      <c r="B104" s="215" t="s">
        <v>292</v>
      </c>
    </row>
    <row r="105" spans="2:6">
      <c r="B105" s="217" t="s">
        <v>293</v>
      </c>
      <c r="C105" s="217"/>
      <c r="D105" s="230"/>
      <c r="E105" s="243"/>
      <c r="F105" s="266"/>
    </row>
    <row r="116" spans="2:12">
      <c r="B116" s="215" t="s">
        <v>294</v>
      </c>
    </row>
    <row r="117" spans="2:12">
      <c r="B117" s="217" t="s">
        <v>295</v>
      </c>
      <c r="C117" s="217"/>
      <c r="D117" s="230"/>
      <c r="E117" s="243"/>
      <c r="F117" s="266"/>
    </row>
    <row r="123" spans="2:12">
      <c r="L123" s="284">
        <f>26.1/J139</f>
        <v>18.055904247906508</v>
      </c>
    </row>
    <row r="133" spans="2:11">
      <c r="B133" s="215" t="s">
        <v>296</v>
      </c>
    </row>
    <row r="134" spans="2:11">
      <c r="B134" s="217" t="s">
        <v>297</v>
      </c>
      <c r="C134" s="217"/>
      <c r="D134" s="230"/>
      <c r="E134" s="243"/>
      <c r="F134" s="266"/>
      <c r="I134" t="s">
        <v>301</v>
      </c>
      <c r="J134" t="s">
        <v>303</v>
      </c>
      <c r="K134" t="s">
        <v>302</v>
      </c>
    </row>
    <row r="135" spans="2:11">
      <c r="I135" s="507">
        <v>2014</v>
      </c>
      <c r="J135" s="508">
        <f>TOWER!I21</f>
        <v>1.0430665525128884</v>
      </c>
    </row>
    <row r="136" spans="2:11">
      <c r="I136" s="510">
        <f>I135+1</f>
        <v>2015</v>
      </c>
      <c r="J136" s="508">
        <f>TOWER!N21</f>
        <v>0.94310140197550973</v>
      </c>
      <c r="K136" s="509">
        <f>(J136/J135-1)*100</f>
        <v>-9.5837749083746431</v>
      </c>
    </row>
    <row r="137" spans="2:11">
      <c r="I137" s="510">
        <f t="shared" ref="I137:I143" si="0">I136+1</f>
        <v>2016</v>
      </c>
      <c r="J137" s="508">
        <f>TOWER!S21</f>
        <v>0.71481394473070958</v>
      </c>
      <c r="K137" s="509">
        <f t="shared" ref="K137:K143" si="1">(J137/J136-1)*100</f>
        <v>-24.206035190554008</v>
      </c>
    </row>
    <row r="138" spans="2:11">
      <c r="I138" s="510">
        <f t="shared" si="0"/>
        <v>2017</v>
      </c>
      <c r="J138" s="508">
        <f>TOWER!X20</f>
        <v>1.1780710280373832</v>
      </c>
      <c r="K138" s="509">
        <f t="shared" si="1"/>
        <v>64.80806463298579</v>
      </c>
    </row>
    <row r="139" spans="2:11">
      <c r="I139" s="510">
        <f t="shared" si="0"/>
        <v>2018</v>
      </c>
      <c r="J139" s="508">
        <f>TOWER!AC20</f>
        <v>1.4455105455616362</v>
      </c>
      <c r="K139" s="509">
        <f t="shared" si="1"/>
        <v>22.701476494995031</v>
      </c>
    </row>
    <row r="140" spans="2:11">
      <c r="I140" s="510">
        <f t="shared" si="0"/>
        <v>2019</v>
      </c>
      <c r="J140" s="508">
        <f>TOWER!AH20</f>
        <v>1.5970911844761666</v>
      </c>
      <c r="K140" s="509">
        <f t="shared" si="1"/>
        <v>10.48630460565998</v>
      </c>
    </row>
    <row r="141" spans="2:11">
      <c r="I141" s="510">
        <f t="shared" si="0"/>
        <v>2020</v>
      </c>
      <c r="J141" s="508">
        <f>TOWER!AM20</f>
        <v>1.7569076490029218</v>
      </c>
      <c r="K141" s="509">
        <f t="shared" si="1"/>
        <v>10.00672134942462</v>
      </c>
    </row>
    <row r="142" spans="2:11">
      <c r="I142" s="510">
        <f t="shared" si="0"/>
        <v>2021</v>
      </c>
      <c r="J142" s="508">
        <f>TOWER!AR20</f>
        <v>1.9222594111244906</v>
      </c>
      <c r="K142" s="509">
        <f t="shared" si="1"/>
        <v>9.4115226953112252</v>
      </c>
    </row>
    <row r="143" spans="2:11">
      <c r="I143" s="510">
        <f t="shared" si="0"/>
        <v>2022</v>
      </c>
      <c r="J143" s="508">
        <f>TOWER!AW20</f>
        <v>2.0906845611303471</v>
      </c>
      <c r="K143" s="509">
        <f t="shared" si="1"/>
        <v>8.7618325097615468</v>
      </c>
    </row>
    <row r="147" spans="2:21">
      <c r="B147" s="215" t="s">
        <v>298</v>
      </c>
      <c r="M147" s="220"/>
      <c r="N147" s="220"/>
      <c r="O147" s="220"/>
      <c r="P147" s="220"/>
      <c r="Q147" s="220"/>
      <c r="R147" s="220"/>
      <c r="S147" s="220"/>
      <c r="T147" s="220"/>
      <c r="U147" s="220"/>
    </row>
    <row r="148" spans="2:21">
      <c r="B148" s="217" t="s">
        <v>299</v>
      </c>
      <c r="C148" s="217"/>
      <c r="D148" s="230"/>
      <c r="E148" s="243"/>
      <c r="F148" s="266"/>
      <c r="I148" t="s">
        <v>301</v>
      </c>
      <c r="J148" t="s">
        <v>123</v>
      </c>
      <c r="K148" t="s">
        <v>302</v>
      </c>
    </row>
    <row r="149" spans="2:21">
      <c r="I149" s="507">
        <v>2014</v>
      </c>
      <c r="J149" s="511">
        <f>TOWER!I5</f>
        <v>27221370</v>
      </c>
    </row>
    <row r="150" spans="2:21">
      <c r="I150" s="510">
        <f>I149+1</f>
        <v>2015</v>
      </c>
      <c r="J150" s="511">
        <f>TOWER!N5</f>
        <v>24597787</v>
      </c>
      <c r="K150" s="509">
        <f>(J150/J149-1)*100</f>
        <v>-9.6379535636891163</v>
      </c>
    </row>
    <row r="151" spans="2:21">
      <c r="I151" s="510">
        <f t="shared" ref="I151:I157" si="2">I150+1</f>
        <v>2016</v>
      </c>
      <c r="J151" s="511">
        <f>TOWER!S5</f>
        <v>23773035</v>
      </c>
      <c r="K151" s="509">
        <f t="shared" ref="K151:K157" si="3">(J151/J150-1)*100</f>
        <v>-3.3529520358884346</v>
      </c>
    </row>
    <row r="152" spans="2:21">
      <c r="I152" s="510">
        <f t="shared" si="2"/>
        <v>2017</v>
      </c>
      <c r="J152" s="511">
        <f>TOWER!X5</f>
        <v>24698089</v>
      </c>
      <c r="K152" s="509">
        <f t="shared" si="3"/>
        <v>3.8911901656645931</v>
      </c>
    </row>
    <row r="153" spans="2:21">
      <c r="I153" s="510">
        <f t="shared" si="2"/>
        <v>2018</v>
      </c>
      <c r="J153" s="511">
        <f>TOWER!AC5</f>
        <v>26160961.840380099</v>
      </c>
      <c r="K153" s="509">
        <f t="shared" si="3"/>
        <v>5.9230203615352472</v>
      </c>
    </row>
    <row r="154" spans="2:21">
      <c r="I154" s="510">
        <f t="shared" si="2"/>
        <v>2019</v>
      </c>
      <c r="J154" s="511">
        <f>TOWER!AH5</f>
        <v>27806729.993959717</v>
      </c>
      <c r="K154" s="509">
        <f t="shared" si="3"/>
        <v>6.2909313641493769</v>
      </c>
    </row>
    <row r="155" spans="2:21">
      <c r="I155" s="510">
        <f t="shared" si="2"/>
        <v>2020</v>
      </c>
      <c r="J155" s="511">
        <f>TOWER!AM5</f>
        <v>29589422.197816279</v>
      </c>
      <c r="K155" s="509">
        <f t="shared" si="3"/>
        <v>6.4110098679125649</v>
      </c>
    </row>
    <row r="156" spans="2:21">
      <c r="I156" s="510">
        <f t="shared" si="2"/>
        <v>2021</v>
      </c>
      <c r="J156" s="511">
        <f>TOWER!AR5</f>
        <v>31468738.086487785</v>
      </c>
      <c r="K156" s="509">
        <f t="shared" si="3"/>
        <v>6.3513098569738302</v>
      </c>
    </row>
    <row r="157" spans="2:21">
      <c r="I157" s="510">
        <f t="shared" si="2"/>
        <v>2022</v>
      </c>
      <c r="J157" s="511">
        <f>TOWER!AW5</f>
        <v>33409085.916645084</v>
      </c>
      <c r="K157" s="509">
        <f t="shared" si="3"/>
        <v>6.1659537310473134</v>
      </c>
    </row>
    <row r="162" spans="2:30">
      <c r="B162" s="217" t="s">
        <v>335</v>
      </c>
      <c r="C162" s="217"/>
      <c r="D162" s="230"/>
      <c r="E162" s="243"/>
      <c r="F162" s="266"/>
    </row>
    <row r="165" spans="2:30">
      <c r="I165" s="507" t="s">
        <v>112</v>
      </c>
      <c r="J165" s="512">
        <v>2.2000000000000002</v>
      </c>
    </row>
    <row r="166" spans="2:30">
      <c r="I166" s="507" t="s">
        <v>113</v>
      </c>
      <c r="J166" s="512">
        <v>1.8</v>
      </c>
    </row>
    <row r="167" spans="2:30">
      <c r="I167" s="507" t="s">
        <v>117</v>
      </c>
      <c r="J167" s="512">
        <v>3.5</v>
      </c>
    </row>
    <row r="168" spans="2:30">
      <c r="I168" s="507" t="s">
        <v>118</v>
      </c>
      <c r="J168" s="512">
        <v>8</v>
      </c>
    </row>
    <row r="176" spans="2:30">
      <c r="V176" s="285" t="s">
        <v>340</v>
      </c>
      <c r="W176" s="285"/>
      <c r="X176" s="254"/>
      <c r="Y176" s="285"/>
      <c r="Z176" s="253"/>
      <c r="AA176" s="285"/>
      <c r="AB176" s="285"/>
      <c r="AC176" s="285"/>
      <c r="AD176" s="286"/>
    </row>
    <row r="177" spans="13:30">
      <c r="V177" s="269" t="s">
        <v>336</v>
      </c>
      <c r="W177" s="269"/>
      <c r="X177" s="287"/>
      <c r="Y177" s="269"/>
      <c r="Z177" s="288">
        <v>2013</v>
      </c>
      <c r="AA177" s="288">
        <f>Z177+1</f>
        <v>2014</v>
      </c>
      <c r="AB177" s="288">
        <f t="shared" ref="AB177:AD177" si="4">AA177+1</f>
        <v>2015</v>
      </c>
      <c r="AC177" s="288">
        <f t="shared" si="4"/>
        <v>2016</v>
      </c>
      <c r="AD177" s="289">
        <f t="shared" si="4"/>
        <v>2017</v>
      </c>
    </row>
    <row r="178" spans="13:30">
      <c r="V178" s="269" t="s">
        <v>337</v>
      </c>
      <c r="W178" s="269"/>
      <c r="X178" s="287"/>
      <c r="Y178" s="269"/>
      <c r="Z178" s="517">
        <v>10.01</v>
      </c>
      <c r="AA178" s="517">
        <v>6.52</v>
      </c>
      <c r="AB178" s="517">
        <v>14.35</v>
      </c>
      <c r="AC178" s="517">
        <v>12.74</v>
      </c>
      <c r="AD178" s="518">
        <v>14.79</v>
      </c>
    </row>
    <row r="179" spans="13:30">
      <c r="V179" s="269" t="s">
        <v>338</v>
      </c>
      <c r="W179" s="269"/>
      <c r="X179" s="287"/>
      <c r="Y179" s="269"/>
      <c r="Z179" s="517">
        <v>1.55</v>
      </c>
      <c r="AA179" s="517">
        <v>3.52</v>
      </c>
      <c r="AB179" s="517">
        <v>4.8099999999999996</v>
      </c>
      <c r="AC179" s="517">
        <v>3.49</v>
      </c>
      <c r="AD179" s="518">
        <v>4.21</v>
      </c>
    </row>
    <row r="180" spans="13:30">
      <c r="V180" s="269" t="s">
        <v>339</v>
      </c>
      <c r="W180" s="269"/>
      <c r="X180" s="287"/>
      <c r="Y180" s="269"/>
      <c r="Z180" s="517">
        <v>3</v>
      </c>
      <c r="AA180" s="517">
        <v>4.82</v>
      </c>
      <c r="AB180" s="517">
        <v>4.54</v>
      </c>
      <c r="AC180" s="517">
        <v>3.8</v>
      </c>
      <c r="AD180" s="518">
        <v>4.62</v>
      </c>
    </row>
    <row r="181" spans="13:30">
      <c r="V181" s="269"/>
      <c r="W181" s="287" t="s">
        <v>341</v>
      </c>
      <c r="X181" s="269"/>
      <c r="Y181" s="269"/>
      <c r="Z181" s="517" t="s">
        <v>74</v>
      </c>
      <c r="AA181" s="517" t="s">
        <v>74</v>
      </c>
      <c r="AB181" s="517" t="s">
        <v>74</v>
      </c>
      <c r="AC181" s="517" t="s">
        <v>74</v>
      </c>
      <c r="AD181" s="518">
        <v>4.47</v>
      </c>
    </row>
    <row r="182" spans="13:30">
      <c r="V182" s="287" t="s">
        <v>342</v>
      </c>
      <c r="W182" s="269"/>
      <c r="X182" s="269"/>
      <c r="Y182" s="269"/>
      <c r="Z182" s="517">
        <v>3.47</v>
      </c>
      <c r="AA182" s="517">
        <v>5.21</v>
      </c>
      <c r="AB182" s="517">
        <v>4.54</v>
      </c>
      <c r="AC182" s="517">
        <v>3.75</v>
      </c>
      <c r="AD182" s="518">
        <v>4.47</v>
      </c>
    </row>
    <row r="187" spans="13:30" ht="16">
      <c r="V187" s="290" t="s">
        <v>343</v>
      </c>
      <c r="W187" s="291" t="s">
        <v>344</v>
      </c>
    </row>
    <row r="188" spans="13:30" ht="16">
      <c r="V188" s="292" t="s">
        <v>3</v>
      </c>
      <c r="W188" s="516">
        <v>0.24</v>
      </c>
    </row>
    <row r="189" spans="13:30" ht="16">
      <c r="V189" s="292" t="s">
        <v>5</v>
      </c>
      <c r="W189" s="516">
        <v>0.24</v>
      </c>
    </row>
    <row r="190" spans="13:30" ht="16">
      <c r="V190" s="292" t="s">
        <v>7</v>
      </c>
      <c r="W190" s="516">
        <v>0.23</v>
      </c>
    </row>
    <row r="191" spans="13:30" ht="16">
      <c r="M191" s="293" t="s">
        <v>346</v>
      </c>
      <c r="N191" s="293"/>
      <c r="O191" s="293"/>
      <c r="V191" s="292" t="s">
        <v>6</v>
      </c>
      <c r="W191" s="516">
        <v>0.23</v>
      </c>
    </row>
    <row r="192" spans="13:30" ht="16">
      <c r="V192" s="292" t="s">
        <v>8</v>
      </c>
      <c r="W192" s="516">
        <v>0.22</v>
      </c>
    </row>
    <row r="193" spans="22:23" ht="16">
      <c r="V193" s="292" t="s">
        <v>9</v>
      </c>
      <c r="W193" s="516">
        <v>0.22</v>
      </c>
    </row>
    <row r="194" spans="22:23" ht="16">
      <c r="V194" s="292" t="s">
        <v>10</v>
      </c>
      <c r="W194" s="516">
        <v>0.189</v>
      </c>
    </row>
    <row r="195" spans="22:23" ht="16">
      <c r="V195" s="292" t="s">
        <v>11</v>
      </c>
      <c r="W195" s="516">
        <v>0.14899999999999999</v>
      </c>
    </row>
    <row r="196" spans="22:23" ht="16">
      <c r="V196" s="292" t="s">
        <v>12</v>
      </c>
      <c r="W196" s="516">
        <v>0.13100000000000001</v>
      </c>
    </row>
    <row r="197" spans="22:23" ht="16">
      <c r="V197" s="292" t="s">
        <v>13</v>
      </c>
      <c r="W197" s="516">
        <v>0.13900000000000001</v>
      </c>
    </row>
    <row r="198" spans="22:23" ht="16">
      <c r="V198" s="292" t="s">
        <v>14</v>
      </c>
      <c r="W198" s="516">
        <v>0.13100000000000001</v>
      </c>
    </row>
    <row r="199" spans="22:23" ht="16">
      <c r="V199" s="292" t="s">
        <v>15</v>
      </c>
      <c r="W199" s="516">
        <v>0.13900000000000001</v>
      </c>
    </row>
    <row r="204" spans="22:23">
      <c r="V204" s="248" t="s">
        <v>301</v>
      </c>
      <c r="W204" t="s">
        <v>345</v>
      </c>
    </row>
    <row r="205" spans="22:23">
      <c r="V205" s="248">
        <v>1950</v>
      </c>
      <c r="W205">
        <v>1</v>
      </c>
    </row>
    <row r="206" spans="22:23">
      <c r="V206" s="248">
        <f>V205+10</f>
        <v>1960</v>
      </c>
      <c r="W206">
        <v>3</v>
      </c>
    </row>
    <row r="207" spans="22:23">
      <c r="V207" s="259">
        <f t="shared" ref="V207:V213" si="5">V206+10</f>
        <v>1970</v>
      </c>
      <c r="W207">
        <v>4</v>
      </c>
    </row>
    <row r="208" spans="22:23">
      <c r="V208" s="259">
        <f t="shared" si="5"/>
        <v>1980</v>
      </c>
      <c r="W208">
        <v>10</v>
      </c>
    </row>
    <row r="209" spans="11:31">
      <c r="V209" s="259">
        <f t="shared" si="5"/>
        <v>1990</v>
      </c>
      <c r="W209">
        <v>15</v>
      </c>
    </row>
    <row r="210" spans="11:31">
      <c r="V210" s="259">
        <f t="shared" si="5"/>
        <v>2000</v>
      </c>
      <c r="W210">
        <v>20</v>
      </c>
    </row>
    <row r="211" spans="11:31">
      <c r="K211" s="295" t="s">
        <v>347</v>
      </c>
      <c r="L211" s="294"/>
      <c r="V211" s="259">
        <f t="shared" si="5"/>
        <v>2010</v>
      </c>
      <c r="W211">
        <v>30</v>
      </c>
    </row>
    <row r="212" spans="11:31">
      <c r="K212" s="294"/>
      <c r="L212" s="294"/>
      <c r="V212" s="259">
        <f t="shared" si="5"/>
        <v>2020</v>
      </c>
      <c r="W212">
        <v>35</v>
      </c>
    </row>
    <row r="213" spans="11:31">
      <c r="V213" s="259">
        <f t="shared" si="5"/>
        <v>2030</v>
      </c>
      <c r="W213">
        <v>50</v>
      </c>
    </row>
    <row r="215" spans="11:31">
      <c r="U215" t="s">
        <v>301</v>
      </c>
      <c r="V215" s="248">
        <v>2011</v>
      </c>
      <c r="W215">
        <f>V215+1</f>
        <v>2012</v>
      </c>
      <c r="X215">
        <f t="shared" ref="X215:AE215" si="6">W215+1</f>
        <v>2013</v>
      </c>
      <c r="Y215">
        <f t="shared" si="6"/>
        <v>2014</v>
      </c>
      <c r="Z215">
        <f t="shared" si="6"/>
        <v>2015</v>
      </c>
      <c r="AA215">
        <f t="shared" si="6"/>
        <v>2016</v>
      </c>
      <c r="AB215">
        <f t="shared" si="6"/>
        <v>2017</v>
      </c>
      <c r="AC215">
        <f t="shared" si="6"/>
        <v>2018</v>
      </c>
      <c r="AD215">
        <f t="shared" si="6"/>
        <v>2019</v>
      </c>
      <c r="AE215">
        <f t="shared" si="6"/>
        <v>2020</v>
      </c>
    </row>
    <row r="216" spans="11:31">
      <c r="N216" s="285" t="s">
        <v>357</v>
      </c>
      <c r="O216" s="285"/>
      <c r="P216" s="285"/>
      <c r="Q216" s="285"/>
      <c r="U216" t="s">
        <v>348</v>
      </c>
      <c r="V216" s="296">
        <f>W216/1.067</f>
        <v>239.16852003256636</v>
      </c>
      <c r="W216" s="296">
        <f>X216/1.067</f>
        <v>255.19281087474829</v>
      </c>
      <c r="X216" s="296">
        <f>Y216/1.067</f>
        <v>272.29072920335642</v>
      </c>
      <c r="Y216" s="296">
        <f>Z216/1.067</f>
        <v>290.53420805998127</v>
      </c>
      <c r="Z216" s="296">
        <v>310</v>
      </c>
      <c r="AA216" s="296">
        <f>Z216*1.06</f>
        <v>328.6</v>
      </c>
      <c r="AB216" s="296">
        <f t="shared" ref="AB216:AE216" si="7">AA216*1.06</f>
        <v>348.31600000000003</v>
      </c>
      <c r="AC216" s="296">
        <f t="shared" si="7"/>
        <v>369.21496000000008</v>
      </c>
      <c r="AD216" s="296">
        <f t="shared" si="7"/>
        <v>391.36785760000009</v>
      </c>
      <c r="AE216" s="296">
        <f t="shared" si="7"/>
        <v>414.84992905600012</v>
      </c>
    </row>
    <row r="217" spans="11:31">
      <c r="N217" s="287" t="s">
        <v>353</v>
      </c>
      <c r="O217" s="299" t="s">
        <v>354</v>
      </c>
      <c r="P217" s="300" t="s">
        <v>355</v>
      </c>
      <c r="Q217" s="300" t="s">
        <v>356</v>
      </c>
      <c r="U217" t="s">
        <v>349</v>
      </c>
      <c r="V217" s="248">
        <v>6.7</v>
      </c>
      <c r="W217" s="259">
        <v>6.7</v>
      </c>
      <c r="X217" s="259">
        <v>6.7</v>
      </c>
      <c r="Y217" s="259">
        <v>6.7</v>
      </c>
      <c r="Z217" s="259">
        <v>6.7</v>
      </c>
      <c r="AA217" s="259">
        <v>6.7</v>
      </c>
      <c r="AB217" s="259">
        <v>6.5</v>
      </c>
      <c r="AC217" s="259">
        <v>6.5</v>
      </c>
      <c r="AD217" s="259">
        <v>6.5</v>
      </c>
      <c r="AE217" s="259">
        <v>6.5</v>
      </c>
    </row>
    <row r="218" spans="11:31">
      <c r="N218" s="287" t="s">
        <v>350</v>
      </c>
      <c r="O218" s="514">
        <v>21.85</v>
      </c>
      <c r="P218" s="515">
        <v>0.2</v>
      </c>
      <c r="Q218" s="513">
        <f>O218*P218</f>
        <v>4.37</v>
      </c>
    </row>
    <row r="219" spans="11:31">
      <c r="N219" s="287" t="s">
        <v>351</v>
      </c>
      <c r="O219" s="514">
        <v>26.1</v>
      </c>
      <c r="P219" s="515">
        <v>0.6</v>
      </c>
      <c r="Q219" s="513">
        <f t="shared" ref="Q219:Q220" si="8">O219*P219</f>
        <v>15.66</v>
      </c>
    </row>
    <row r="220" spans="11:31">
      <c r="N220" s="287" t="s">
        <v>352</v>
      </c>
      <c r="O220" s="514">
        <v>31.09</v>
      </c>
      <c r="P220" s="515">
        <v>0.2</v>
      </c>
      <c r="Q220" s="513">
        <f t="shared" si="8"/>
        <v>6.218</v>
      </c>
    </row>
    <row r="221" spans="11:31">
      <c r="N221" s="254" t="s">
        <v>358</v>
      </c>
      <c r="O221" s="285"/>
      <c r="P221" s="285"/>
      <c r="Q221" s="298">
        <f>SUM(Q218:Q220)</f>
        <v>26.248000000000001</v>
      </c>
    </row>
  </sheetData>
  <mergeCells count="1">
    <mergeCell ref="R89:S89"/>
  </mergeCells>
  <phoneticPr fontId="74" type="noConversion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9"/>
  </sheetPr>
  <dimension ref="C3:W59"/>
  <sheetViews>
    <sheetView showGridLines="0" topLeftCell="A10" workbookViewId="0">
      <selection activeCell="D64" sqref="D64"/>
    </sheetView>
  </sheetViews>
  <sheetFormatPr baseColWidth="10" defaultColWidth="8.83203125" defaultRowHeight="15"/>
  <cols>
    <col min="3" max="3" width="46.6640625" customWidth="1"/>
    <col min="4" max="4" width="29.6640625" style="259" customWidth="1"/>
    <col min="5" max="5" width="26" style="259" customWidth="1"/>
    <col min="8" max="8" width="6.1640625" customWidth="1"/>
    <col min="9" max="9" width="13.83203125" customWidth="1"/>
  </cols>
  <sheetData>
    <row r="3" spans="3:10" ht="15.75" customHeight="1">
      <c r="C3" s="254" t="s">
        <v>305</v>
      </c>
      <c r="D3" s="302" t="s">
        <v>359</v>
      </c>
      <c r="E3" s="302" t="s">
        <v>360</v>
      </c>
      <c r="F3" s="127"/>
      <c r="G3" s="127"/>
    </row>
    <row r="4" spans="3:10">
      <c r="C4" s="256" t="s">
        <v>197</v>
      </c>
      <c r="D4" s="305"/>
      <c r="E4" s="196"/>
      <c r="F4" s="127"/>
      <c r="G4" s="127"/>
    </row>
    <row r="5" spans="3:10">
      <c r="C5" s="256" t="s">
        <v>213</v>
      </c>
      <c r="D5" s="520">
        <v>24260</v>
      </c>
      <c r="E5" s="522">
        <f t="shared" ref="E5:E17" si="0">D5/$D$18</f>
        <v>5.7082352941176473E-2</v>
      </c>
      <c r="F5" s="127"/>
      <c r="G5" s="127"/>
      <c r="I5" s="256" t="s">
        <v>213</v>
      </c>
      <c r="J5" s="523">
        <f t="shared" ref="J5:J17" si="1">E5</f>
        <v>5.7082352941176473E-2</v>
      </c>
    </row>
    <row r="6" spans="3:10">
      <c r="C6" s="255" t="s">
        <v>203</v>
      </c>
      <c r="D6" s="521">
        <v>19540</v>
      </c>
      <c r="E6" s="522">
        <f t="shared" si="0"/>
        <v>4.5976470588235292E-2</v>
      </c>
      <c r="F6" s="127"/>
      <c r="G6" s="127"/>
      <c r="I6" s="255" t="s">
        <v>203</v>
      </c>
      <c r="J6" s="523">
        <f t="shared" si="1"/>
        <v>4.5976470588235292E-2</v>
      </c>
    </row>
    <row r="7" spans="3:10">
      <c r="C7" s="255" t="s">
        <v>204</v>
      </c>
      <c r="D7" s="521">
        <v>6180</v>
      </c>
      <c r="E7" s="522">
        <f t="shared" si="0"/>
        <v>1.4541176470588234E-2</v>
      </c>
      <c r="F7" s="127"/>
      <c r="G7" s="127"/>
      <c r="I7" s="255" t="s">
        <v>204</v>
      </c>
      <c r="J7" s="523">
        <f t="shared" si="1"/>
        <v>1.4541176470588234E-2</v>
      </c>
    </row>
    <row r="8" spans="3:10">
      <c r="C8" s="255" t="s">
        <v>218</v>
      </c>
      <c r="D8" s="521">
        <v>6870</v>
      </c>
      <c r="E8" s="522">
        <f t="shared" si="0"/>
        <v>1.6164705882352942E-2</v>
      </c>
      <c r="F8" s="127"/>
      <c r="G8" s="127"/>
      <c r="I8" s="255" t="s">
        <v>218</v>
      </c>
      <c r="J8" s="523">
        <f t="shared" si="1"/>
        <v>1.6164705882352942E-2</v>
      </c>
    </row>
    <row r="9" spans="3:10">
      <c r="C9" s="255" t="s">
        <v>205</v>
      </c>
      <c r="D9" s="521">
        <v>2530</v>
      </c>
      <c r="E9" s="522">
        <f t="shared" si="0"/>
        <v>5.9529411764705879E-3</v>
      </c>
      <c r="F9" s="127"/>
      <c r="G9" s="127"/>
      <c r="I9" s="255" t="s">
        <v>205</v>
      </c>
      <c r="J9" s="523">
        <f t="shared" si="1"/>
        <v>5.9529411764705879E-3</v>
      </c>
    </row>
    <row r="10" spans="3:10">
      <c r="C10" s="255" t="s">
        <v>217</v>
      </c>
      <c r="D10" s="521">
        <v>1450</v>
      </c>
      <c r="E10" s="522">
        <f t="shared" si="0"/>
        <v>3.4117647058823529E-3</v>
      </c>
      <c r="F10" s="127"/>
      <c r="G10" s="127"/>
      <c r="I10" s="255" t="s">
        <v>217</v>
      </c>
      <c r="J10" s="523">
        <f t="shared" si="1"/>
        <v>3.4117647058823529E-3</v>
      </c>
    </row>
    <row r="11" spans="3:10">
      <c r="C11" s="255" t="s">
        <v>206</v>
      </c>
      <c r="D11" s="521">
        <v>2390</v>
      </c>
      <c r="E11" s="522">
        <f t="shared" si="0"/>
        <v>5.623529411764706E-3</v>
      </c>
      <c r="F11" s="127"/>
      <c r="G11" s="127"/>
      <c r="I11" s="255" t="s">
        <v>206</v>
      </c>
      <c r="J11" s="523">
        <f t="shared" si="1"/>
        <v>5.623529411764706E-3</v>
      </c>
    </row>
    <row r="12" spans="3:10">
      <c r="C12" s="255" t="s">
        <v>207</v>
      </c>
      <c r="D12" s="521">
        <v>9090</v>
      </c>
      <c r="E12" s="522">
        <f t="shared" si="0"/>
        <v>2.1388235294117645E-2</v>
      </c>
      <c r="F12" s="127"/>
      <c r="G12" s="127"/>
      <c r="I12" s="255" t="s">
        <v>207</v>
      </c>
      <c r="J12" s="523">
        <f t="shared" si="1"/>
        <v>2.1388235294117645E-2</v>
      </c>
    </row>
    <row r="13" spans="3:10">
      <c r="C13" s="255" t="s">
        <v>208</v>
      </c>
      <c r="D13" s="521">
        <v>96.5</v>
      </c>
      <c r="E13" s="522">
        <f t="shared" si="0"/>
        <v>2.2705882352941177E-4</v>
      </c>
      <c r="F13" s="127"/>
      <c r="G13" s="127"/>
      <c r="I13" s="255" t="s">
        <v>208</v>
      </c>
      <c r="J13" s="523">
        <f t="shared" si="1"/>
        <v>2.2705882352941177E-4</v>
      </c>
    </row>
    <row r="14" spans="3:10">
      <c r="C14" s="255" t="s">
        <v>209</v>
      </c>
      <c r="D14" s="521">
        <v>271.7</v>
      </c>
      <c r="E14" s="522">
        <f t="shared" si="0"/>
        <v>6.3929411764705876E-4</v>
      </c>
      <c r="F14" s="127"/>
      <c r="G14" s="127"/>
      <c r="I14" s="255" t="s">
        <v>209</v>
      </c>
      <c r="J14" s="523">
        <f t="shared" si="1"/>
        <v>6.3929411764705876E-4</v>
      </c>
    </row>
    <row r="15" spans="3:10">
      <c r="C15" s="255" t="s">
        <v>210</v>
      </c>
      <c r="D15" s="521">
        <v>140.19999999999999</v>
      </c>
      <c r="E15" s="522">
        <f t="shared" si="0"/>
        <v>3.2988235294117643E-4</v>
      </c>
      <c r="F15" s="127"/>
      <c r="G15" s="127"/>
      <c r="I15" s="255" t="s">
        <v>210</v>
      </c>
      <c r="J15" s="523">
        <f t="shared" si="1"/>
        <v>3.2988235294117643E-4</v>
      </c>
    </row>
    <row r="16" spans="3:10">
      <c r="C16" s="255" t="s">
        <v>211</v>
      </c>
      <c r="D16" s="521">
        <v>2630</v>
      </c>
      <c r="E16" s="522">
        <f t="shared" si="0"/>
        <v>6.1882352941176472E-3</v>
      </c>
      <c r="F16" s="127"/>
      <c r="G16" s="127"/>
      <c r="I16" s="255" t="s">
        <v>211</v>
      </c>
      <c r="J16" s="523">
        <f t="shared" si="1"/>
        <v>6.1882352941176472E-3</v>
      </c>
    </row>
    <row r="17" spans="3:10">
      <c r="C17" s="255" t="s">
        <v>212</v>
      </c>
      <c r="D17" s="521">
        <v>146200</v>
      </c>
      <c r="E17" s="522">
        <f t="shared" si="0"/>
        <v>0.34399999999999997</v>
      </c>
      <c r="F17" s="127"/>
      <c r="G17" s="127"/>
      <c r="I17" s="255" t="s">
        <v>212</v>
      </c>
      <c r="J17" s="523">
        <f t="shared" si="1"/>
        <v>0.34399999999999997</v>
      </c>
    </row>
    <row r="18" spans="3:10">
      <c r="C18" s="303" t="s">
        <v>361</v>
      </c>
      <c r="D18" s="521">
        <v>425000</v>
      </c>
      <c r="F18" s="127"/>
      <c r="G18" s="304">
        <f>SUM(E5:E17)</f>
        <v>0.52152564705882354</v>
      </c>
    </row>
    <row r="19" spans="3:10">
      <c r="C19" s="301"/>
    </row>
    <row r="23" spans="3:10">
      <c r="E23" s="306"/>
    </row>
    <row r="24" spans="3:10" ht="17.25" customHeight="1">
      <c r="C24" s="297"/>
      <c r="D24" s="306"/>
      <c r="E24" s="306"/>
    </row>
    <row r="25" spans="3:10">
      <c r="C25" s="307"/>
      <c r="D25" s="308"/>
      <c r="E25" s="200"/>
    </row>
    <row r="27" spans="3:10">
      <c r="I27" t="s">
        <v>362</v>
      </c>
      <c r="J27" s="524">
        <f>G18</f>
        <v>0.52152564705882354</v>
      </c>
    </row>
    <row r="28" spans="3:10">
      <c r="I28" t="s">
        <v>363</v>
      </c>
      <c r="J28" s="525">
        <f>1-J27</f>
        <v>0.47847435294117646</v>
      </c>
    </row>
    <row r="37" spans="11:23">
      <c r="K37" s="526" t="s">
        <v>374</v>
      </c>
      <c r="L37" s="507"/>
      <c r="M37" s="507"/>
      <c r="N37" s="507"/>
      <c r="O37" s="507"/>
      <c r="P37" s="507"/>
      <c r="Q37" s="507"/>
      <c r="R37" s="507"/>
      <c r="S37" s="507"/>
      <c r="T37" s="507"/>
      <c r="U37" s="507"/>
      <c r="V37" s="507"/>
      <c r="W37" s="507"/>
    </row>
    <row r="38" spans="11:23">
      <c r="K38" s="527" t="s">
        <v>375</v>
      </c>
      <c r="L38" s="507"/>
      <c r="M38" s="507"/>
      <c r="N38" s="507"/>
      <c r="O38" s="507"/>
      <c r="P38" s="507"/>
      <c r="Q38" s="507"/>
      <c r="R38" s="507"/>
      <c r="S38" s="507"/>
      <c r="T38" s="507"/>
      <c r="U38" s="507"/>
      <c r="V38" s="507"/>
      <c r="W38" s="507"/>
    </row>
    <row r="39" spans="11:23">
      <c r="K39" s="527" t="s">
        <v>376</v>
      </c>
      <c r="L39" s="507"/>
      <c r="M39" s="507"/>
      <c r="N39" s="507"/>
      <c r="O39" s="507"/>
      <c r="P39" s="507"/>
      <c r="Q39" s="507"/>
      <c r="R39" s="507"/>
      <c r="S39" s="507"/>
      <c r="T39" s="507"/>
      <c r="U39" s="507"/>
      <c r="V39" s="507"/>
      <c r="W39" s="507"/>
    </row>
    <row r="40" spans="11:23">
      <c r="K40" s="527" t="s">
        <v>377</v>
      </c>
      <c r="L40" s="507"/>
      <c r="M40" s="507"/>
      <c r="N40" s="507"/>
      <c r="O40" s="507"/>
      <c r="P40" s="507"/>
      <c r="Q40" s="507"/>
      <c r="R40" s="507"/>
      <c r="S40" s="507"/>
      <c r="T40" s="507"/>
      <c r="U40" s="507"/>
      <c r="V40" s="507"/>
      <c r="W40" s="507"/>
    </row>
    <row r="41" spans="11:23">
      <c r="K41" s="527" t="s">
        <v>378</v>
      </c>
      <c r="L41" s="507"/>
      <c r="M41" s="507"/>
      <c r="N41" s="507"/>
      <c r="O41" s="507"/>
      <c r="P41" s="507"/>
      <c r="Q41" s="507"/>
      <c r="R41" s="507"/>
      <c r="S41" s="507"/>
      <c r="T41" s="507"/>
      <c r="U41" s="507"/>
      <c r="V41" s="507"/>
      <c r="W41" s="507"/>
    </row>
    <row r="42" spans="11:23">
      <c r="K42" s="527" t="s">
        <v>379</v>
      </c>
      <c r="L42" s="507"/>
      <c r="M42" s="507"/>
      <c r="N42" s="507"/>
      <c r="O42" s="507"/>
      <c r="P42" s="507"/>
      <c r="Q42" s="507"/>
      <c r="R42" s="507"/>
      <c r="S42" s="507"/>
      <c r="T42" s="507"/>
      <c r="U42" s="507"/>
      <c r="V42" s="507"/>
      <c r="W42" s="507"/>
    </row>
    <row r="43" spans="11:23">
      <c r="K43" s="527" t="s">
        <v>380</v>
      </c>
      <c r="L43" s="507"/>
      <c r="M43" s="507"/>
      <c r="N43" s="507"/>
      <c r="O43" s="507"/>
      <c r="P43" s="507"/>
      <c r="Q43" s="507"/>
      <c r="R43" s="507"/>
      <c r="S43" s="507"/>
      <c r="T43" s="507"/>
      <c r="U43" s="507"/>
      <c r="V43" s="507"/>
      <c r="W43" s="507"/>
    </row>
    <row r="44" spans="11:23">
      <c r="K44" s="527" t="s">
        <v>381</v>
      </c>
      <c r="L44" s="507"/>
      <c r="M44" s="507"/>
      <c r="N44" s="507"/>
      <c r="O44" s="507"/>
      <c r="P44" s="507"/>
      <c r="Q44" s="507"/>
      <c r="R44" s="507"/>
      <c r="S44" s="507"/>
      <c r="T44" s="507"/>
      <c r="U44" s="507"/>
      <c r="V44" s="507"/>
      <c r="W44" s="507"/>
    </row>
    <row r="45" spans="11:23">
      <c r="K45" s="527" t="s">
        <v>382</v>
      </c>
      <c r="L45" s="507"/>
      <c r="M45" s="507"/>
      <c r="N45" s="507"/>
      <c r="O45" s="507"/>
      <c r="P45" s="507"/>
      <c r="Q45" s="507"/>
      <c r="R45" s="507"/>
      <c r="S45" s="507"/>
      <c r="T45" s="507"/>
      <c r="U45" s="507"/>
      <c r="V45" s="507"/>
      <c r="W45" s="507"/>
    </row>
    <row r="46" spans="11:23">
      <c r="K46" s="526" t="s">
        <v>383</v>
      </c>
      <c r="L46" s="507"/>
      <c r="M46" s="507"/>
      <c r="N46" s="507"/>
      <c r="O46" s="507"/>
      <c r="P46" s="507"/>
      <c r="Q46" s="507"/>
      <c r="R46" s="507"/>
      <c r="S46" s="507"/>
      <c r="T46" s="507"/>
      <c r="U46" s="507"/>
      <c r="V46" s="507"/>
      <c r="W46" s="507"/>
    </row>
    <row r="47" spans="11:23">
      <c r="K47" s="527" t="s">
        <v>384</v>
      </c>
      <c r="L47" s="507"/>
      <c r="M47" s="507"/>
      <c r="N47" s="507"/>
      <c r="O47" s="507"/>
      <c r="P47" s="507"/>
      <c r="Q47" s="507"/>
      <c r="R47" s="507"/>
      <c r="S47" s="507"/>
      <c r="T47" s="507"/>
      <c r="U47" s="507"/>
      <c r="V47" s="507"/>
      <c r="W47" s="507"/>
    </row>
    <row r="48" spans="11:23">
      <c r="K48" s="527" t="s">
        <v>385</v>
      </c>
      <c r="L48" s="507"/>
      <c r="M48" s="507"/>
      <c r="N48" s="507"/>
      <c r="O48" s="507"/>
      <c r="P48" s="507"/>
      <c r="Q48" s="507"/>
      <c r="R48" s="507"/>
      <c r="S48" s="507"/>
      <c r="T48" s="507"/>
      <c r="U48" s="507"/>
      <c r="V48" s="507"/>
      <c r="W48" s="507"/>
    </row>
    <row r="49" spans="11:23">
      <c r="K49" s="527" t="s">
        <v>386</v>
      </c>
      <c r="L49" s="507"/>
      <c r="M49" s="507"/>
      <c r="N49" s="507"/>
      <c r="O49" s="507"/>
      <c r="P49" s="507"/>
      <c r="Q49" s="507"/>
      <c r="R49" s="507"/>
      <c r="S49" s="507"/>
      <c r="T49" s="507"/>
      <c r="U49" s="507"/>
      <c r="V49" s="507"/>
      <c r="W49" s="507"/>
    </row>
    <row r="50" spans="11:23">
      <c r="K50" s="526" t="s">
        <v>387</v>
      </c>
      <c r="L50" s="507"/>
      <c r="M50" s="507"/>
      <c r="N50" s="507"/>
      <c r="O50" s="507"/>
      <c r="P50" s="507"/>
      <c r="Q50" s="507"/>
      <c r="R50" s="507"/>
      <c r="S50" s="507"/>
      <c r="T50" s="507"/>
      <c r="U50" s="507"/>
      <c r="V50" s="507"/>
      <c r="W50" s="507"/>
    </row>
    <row r="51" spans="11:23">
      <c r="K51" s="527" t="s">
        <v>388</v>
      </c>
      <c r="L51" s="507"/>
      <c r="M51" s="507"/>
      <c r="N51" s="507"/>
      <c r="O51" s="507"/>
      <c r="P51" s="507"/>
      <c r="Q51" s="507"/>
      <c r="R51" s="507"/>
      <c r="S51" s="507"/>
      <c r="T51" s="507"/>
      <c r="U51" s="507"/>
      <c r="V51" s="507"/>
      <c r="W51" s="507"/>
    </row>
    <row r="52" spans="11:23">
      <c r="K52" s="527" t="s">
        <v>389</v>
      </c>
      <c r="L52" s="507"/>
      <c r="M52" s="507"/>
      <c r="N52" s="507"/>
      <c r="O52" s="507"/>
      <c r="P52" s="507"/>
      <c r="Q52" s="507"/>
      <c r="R52" s="507"/>
      <c r="S52" s="507"/>
      <c r="T52" s="507"/>
      <c r="U52" s="507"/>
      <c r="V52" s="507"/>
      <c r="W52" s="507"/>
    </row>
    <row r="53" spans="11:23">
      <c r="K53" s="527" t="s">
        <v>390</v>
      </c>
      <c r="L53" s="507"/>
      <c r="M53" s="507"/>
      <c r="N53" s="507"/>
      <c r="O53" s="507"/>
      <c r="P53" s="507"/>
      <c r="Q53" s="507"/>
      <c r="R53" s="507"/>
      <c r="S53" s="507"/>
      <c r="T53" s="507"/>
      <c r="U53" s="507"/>
      <c r="V53" s="507"/>
      <c r="W53" s="507"/>
    </row>
    <row r="54" spans="11:23">
      <c r="K54" s="507"/>
      <c r="L54" s="507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</row>
    <row r="55" spans="11:23">
      <c r="K55" s="526" t="s">
        <v>391</v>
      </c>
      <c r="L55" s="507"/>
      <c r="M55" s="507"/>
      <c r="N55" s="507"/>
      <c r="O55" s="507"/>
      <c r="P55" s="507"/>
      <c r="Q55" s="507"/>
      <c r="R55" s="507"/>
      <c r="S55" s="507"/>
      <c r="T55" s="507"/>
      <c r="U55" s="507"/>
      <c r="V55" s="507"/>
      <c r="W55" s="507"/>
    </row>
    <row r="56" spans="11:23">
      <c r="K56" s="527" t="s">
        <v>392</v>
      </c>
      <c r="L56" s="507"/>
      <c r="M56" s="507"/>
      <c r="N56" s="507"/>
      <c r="O56" s="507"/>
      <c r="P56" s="507"/>
      <c r="Q56" s="507"/>
      <c r="R56" s="507"/>
      <c r="S56" s="507"/>
      <c r="T56" s="507"/>
      <c r="U56" s="507"/>
      <c r="V56" s="507"/>
      <c r="W56" s="507"/>
    </row>
    <row r="57" spans="11:23">
      <c r="K57" s="527" t="s">
        <v>393</v>
      </c>
      <c r="L57" s="507"/>
      <c r="M57" s="507"/>
      <c r="N57" s="507"/>
      <c r="O57" s="507"/>
      <c r="P57" s="507"/>
      <c r="Q57" s="507"/>
      <c r="R57" s="507"/>
      <c r="S57" s="507"/>
      <c r="T57" s="507"/>
      <c r="U57" s="507"/>
      <c r="V57" s="507"/>
      <c r="W57" s="507"/>
    </row>
    <row r="58" spans="11:23">
      <c r="K58" s="527" t="s">
        <v>394</v>
      </c>
      <c r="L58" s="507"/>
      <c r="M58" s="507"/>
      <c r="N58" s="507"/>
      <c r="O58" s="507"/>
      <c r="P58" s="507"/>
      <c r="Q58" s="507"/>
      <c r="R58" s="507"/>
      <c r="S58" s="507"/>
      <c r="T58" s="507"/>
      <c r="U58" s="507"/>
      <c r="V58" s="507"/>
      <c r="W58" s="507"/>
    </row>
    <row r="59" spans="11:23">
      <c r="K59" s="527" t="s">
        <v>395</v>
      </c>
      <c r="L59" s="507"/>
      <c r="M59" s="507"/>
      <c r="N59" s="507"/>
      <c r="O59" s="507"/>
      <c r="P59" s="507"/>
      <c r="Q59" s="507"/>
      <c r="R59" s="507"/>
      <c r="S59" s="507"/>
      <c r="T59" s="507"/>
      <c r="U59" s="507"/>
      <c r="V59" s="507"/>
      <c r="W59" s="507"/>
    </row>
  </sheetData>
  <phoneticPr fontId="7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COVER</vt:lpstr>
      <vt:lpstr>TOWER</vt:lpstr>
      <vt:lpstr>SCENARIO ANALYSIS</vt:lpstr>
      <vt:lpstr>REVENUE BUILD</vt:lpstr>
      <vt:lpstr>DCF</vt:lpstr>
      <vt:lpstr>COMPS ANALYSIS</vt:lpstr>
      <vt:lpstr>M SCORE</vt:lpstr>
      <vt:lpstr>SIDE PROJECTS</vt:lpstr>
      <vt:lpstr>NOTES</vt:lpstr>
      <vt:lpstr>Bear</vt:lpstr>
      <vt:lpstr>CECmargin</vt:lpstr>
      <vt:lpstr>CTGbearrev</vt:lpstr>
      <vt:lpstr>CTGrev</vt:lpstr>
      <vt:lpstr>HRSmargin</vt:lpstr>
      <vt:lpstr>HRSrev</vt:lpstr>
      <vt:lpstr>IEImargin</vt:lpstr>
      <vt:lpstr>IEIrev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Corbett, Blythe</dc:creator>
  <cp:lastModifiedBy>Peter Yan</cp:lastModifiedBy>
  <dcterms:created xsi:type="dcterms:W3CDTF">2017-12-09T14:44:41Z</dcterms:created>
  <dcterms:modified xsi:type="dcterms:W3CDTF">2019-11-20T03:14:18Z</dcterms:modified>
</cp:coreProperties>
</file>